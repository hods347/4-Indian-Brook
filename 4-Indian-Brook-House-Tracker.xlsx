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asis Tracker" sheetId="2" state="visible" r:id="rId2"/>
    <sheet name="2nd Floor Flooring" sheetId="3" state="visible" r:id="rId3"/>
    <sheet name="Project Template" sheetId="4" state="visible" r:id="rId4"/>
  </sheets>
  <definedNames/>
  <calcPr calcId="124519" fullCalcOnLoad="1"/>
</workbook>
</file>

<file path=xl/styles.xml><?xml version="1.0" encoding="utf-8"?>
<styleSheet xmlns="http://schemas.openxmlformats.org/spreadsheetml/2006/main">
  <numFmts count="4">
    <numFmt numFmtId="164" formatCode="&quot;$&quot;#,##0"/>
    <numFmt numFmtId="165" formatCode="yyyy-mm-dd"/>
    <numFmt numFmtId="166" formatCode="mm/dd/yyyy"/>
    <numFmt numFmtId="167" formatCode="&quot;$&quot;#,##0.00"/>
  </numFmts>
  <fonts count="10">
    <font>
      <name val="Calibri"/>
      <family val="2"/>
      <color theme="1"/>
      <sz val="11"/>
      <scheme val="minor"/>
    </font>
    <font>
      <b val="1"/>
      <color rgb="00FFFFFF"/>
      <sz val="16"/>
    </font>
    <font>
      <i val="1"/>
      <color rgb="00595959"/>
      <sz val="10"/>
    </font>
    <font>
      <b val="1"/>
      <sz val="11"/>
    </font>
    <font>
      <b val="1"/>
      <color rgb="00FFFFFF"/>
      <sz val="11"/>
    </font>
    <font>
      <b val="1"/>
      <sz val="10"/>
    </font>
    <font>
      <i val="1"/>
      <color rgb="00595959"/>
      <sz val="9"/>
    </font>
    <font>
      <b val="1"/>
      <color rgb="00FFFFFF"/>
      <sz val="14"/>
    </font>
    <font>
      <b val="1"/>
      <sz val="14"/>
    </font>
    <font>
      <sz val="10"/>
    </font>
  </fonts>
  <fills count="10">
    <fill>
      <patternFill/>
    </fill>
    <fill>
      <patternFill patternType="gray125"/>
    </fill>
    <fill>
      <patternFill patternType="solid">
        <fgColor rgb="001F3864"/>
      </patternFill>
    </fill>
    <fill>
      <patternFill patternType="solid">
        <fgColor rgb="002E5395"/>
      </patternFill>
    </fill>
    <fill>
      <patternFill patternType="solid">
        <fgColor rgb="00D9D9D9"/>
      </patternFill>
    </fill>
    <fill>
      <patternFill patternType="solid">
        <fgColor rgb="00DDEBF7"/>
      </patternFill>
    </fill>
    <fill>
      <patternFill patternType="solid">
        <fgColor rgb="00BF9000"/>
      </patternFill>
    </fill>
    <fill>
      <patternFill patternType="solid">
        <fgColor rgb="00FFF2CC"/>
      </patternFill>
    </fill>
    <fill>
      <patternFill patternType="solid">
        <fgColor rgb="00E2EFDA"/>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3" borderId="0" applyAlignment="1" pivotButton="0" quotePrefix="0" xfId="0">
      <alignment vertical="center" indent="1"/>
    </xf>
    <xf numFmtId="0" fontId="5" fillId="0" borderId="0" pivotButton="0" quotePrefix="0" xfId="0"/>
    <xf numFmtId="164" fontId="0" fillId="0" borderId="1" pivotButton="0" quotePrefix="0" xfId="0"/>
    <xf numFmtId="166" fontId="0" fillId="0" borderId="1" pivotButton="0" quotePrefix="0" xfId="0"/>
    <xf numFmtId="0" fontId="5"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6" fillId="0" borderId="1" pivotButton="0" quotePrefix="0" xfId="0"/>
    <xf numFmtId="167" fontId="0" fillId="0" borderId="1" pivotButton="0" quotePrefix="0" xfId="0"/>
    <xf numFmtId="0" fontId="3" fillId="5" borderId="1" pivotButton="0" quotePrefix="0" xfId="0"/>
    <xf numFmtId="167" fontId="3" fillId="5" borderId="1" pivotButton="0" quotePrefix="0" xfId="0"/>
    <xf numFmtId="0" fontId="7" fillId="6" borderId="0" applyAlignment="1" pivotButton="0" quotePrefix="0" xfId="0">
      <alignment vertical="center" indent="1"/>
    </xf>
    <xf numFmtId="164" fontId="8" fillId="7" borderId="1" pivotButton="0" quotePrefix="0" xfId="0"/>
    <xf numFmtId="0" fontId="6" fillId="0" borderId="0" pivotButton="0" quotePrefix="0" xfId="0"/>
    <xf numFmtId="0" fontId="0" fillId="0" borderId="0" applyAlignment="1" pivotButton="0" quotePrefix="0" xfId="0">
      <alignment vertical="center"/>
    </xf>
    <xf numFmtId="0" fontId="0" fillId="7" borderId="1" applyAlignment="1" pivotButton="0" quotePrefix="0" xfId="0">
      <alignment vertical="center"/>
    </xf>
    <xf numFmtId="9" fontId="0" fillId="0" borderId="0" applyAlignment="1" pivotButton="0" quotePrefix="0" xfId="0">
      <alignment vertical="center"/>
    </xf>
    <xf numFmtId="0" fontId="0" fillId="0" borderId="0" applyAlignment="1" pivotButton="0" quotePrefix="0" xfId="0">
      <alignment vertical="center" wrapText="1"/>
    </xf>
    <xf numFmtId="0" fontId="5" fillId="5" borderId="1" applyAlignment="1" pivotButton="0" quotePrefix="0" xfId="0">
      <alignment horizontal="center" vertical="center" wrapText="1"/>
    </xf>
    <xf numFmtId="0" fontId="9" fillId="0" borderId="1" pivotButton="0" quotePrefix="0" xfId="0"/>
    <xf numFmtId="0" fontId="0" fillId="0" borderId="1" applyAlignment="1" pivotButton="0" quotePrefix="0" xfId="0">
      <alignment horizontal="center"/>
    </xf>
    <xf numFmtId="0" fontId="6" fillId="0" borderId="1" applyAlignment="1" pivotButton="0" quotePrefix="0" xfId="0">
      <alignment vertical="center" wrapText="1"/>
    </xf>
    <xf numFmtId="167" fontId="0" fillId="0" borderId="1" applyAlignment="1" pivotButton="0" quotePrefix="0" xfId="0">
      <alignment horizontal="right"/>
    </xf>
    <xf numFmtId="3" fontId="0" fillId="0" borderId="1" applyAlignment="1" pivotButton="0" quotePrefix="0" xfId="0">
      <alignment horizontal="right"/>
    </xf>
    <xf numFmtId="0" fontId="3" fillId="8" borderId="1" pivotButton="0" quotePrefix="0" xfId="0"/>
    <xf numFmtId="167" fontId="3" fillId="8" borderId="1" applyAlignment="1" pivotButton="0" quotePrefix="0" xfId="0">
      <alignment horizontal="right"/>
    </xf>
    <xf numFmtId="0" fontId="9" fillId="9" borderId="1" pivotButton="0" quotePrefix="0" xfId="0"/>
    <xf numFmtId="167" fontId="0" fillId="9" borderId="1" applyAlignment="1" pivotButton="0" quotePrefix="0" xfId="0">
      <alignment horizontal="right"/>
    </xf>
    <xf numFmtId="167" fontId="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B12"/>
  <sheetViews>
    <sheetView showGridLines="0" workbookViewId="0">
      <selection activeCell="A1" sqref="A1"/>
    </sheetView>
  </sheetViews>
  <sheetFormatPr baseColWidth="8" defaultRowHeight="15"/>
  <cols>
    <col width="22" customWidth="1" min="1" max="1"/>
    <col width="110" customWidth="1" min="2" max="2"/>
  </cols>
  <sheetData>
    <row r="1" ht="30" customHeight="1">
      <c r="A1" s="1" t="inlineStr">
        <is>
          <t>4 INDIAN BROOK ROAD — HOUSE TRACKER</t>
        </is>
      </c>
    </row>
    <row r="2" ht="16" customHeight="1">
      <c r="A2" s="2" t="inlineStr">
        <is>
          <t>Purchase &amp; improvement history</t>
        </is>
      </c>
    </row>
    <row r="4" ht="30" customHeight="1">
      <c r="A4" s="3" t="inlineStr">
        <is>
          <t>What this is</t>
        </is>
      </c>
      <c r="B4" s="4" t="inlineStr">
        <is>
          <t>One workbook that tracks what the house cost and every project that adds to it. Share it in Google Drive so both of you can edit.</t>
        </is>
      </c>
    </row>
    <row r="6" ht="30" customHeight="1">
      <c r="A6" s="3" t="inlineStr">
        <is>
          <t>Basis Tracker</t>
        </is>
      </c>
      <c r="B6" s="4" t="inlineStr">
        <is>
          <t>Purchase price ($1,060,000, closing 7/17/2026) + closing costs + capital improvements = adjusted cost basis. Each project tab feeds one row of the improvements table.</t>
        </is>
      </c>
    </row>
    <row r="7" ht="60" customHeight="1">
      <c r="A7" s="3" t="inlineStr">
        <is>
          <t>2nd Floor Flooring</t>
        </is>
      </c>
      <c r="B7" s="4" t="inlineStr">
        <is>
          <t>First project. Compare the 3 Floor &amp; Decor plank options (incl. underlayment, stair nose &amp; risers, 5% contractor discount, est. tax, and Footprints labor), pick one in 'Selected option' (yellow cell), and the budget fills in automatically. Log payments in the cost log at the bottom — actuals and the Basis Tracker update themselves.</t>
        </is>
      </c>
    </row>
    <row r="8" ht="45" customHeight="1">
      <c r="A8" s="3" t="inlineStr">
        <is>
          <t>Project Template</t>
        </is>
      </c>
      <c r="B8" s="4" t="inlineStr">
        <is>
          <t>For the next project: right-click the tab &gt; Duplicate, rename it, fill in your options/quotes, then add a row in the Basis Tracker improvements table pointing at the new tab's cell C43 (its Actual total).</t>
        </is>
      </c>
    </row>
    <row r="10" ht="60" customHeight="1">
      <c r="A10" s="3" t="inlineStr">
        <is>
          <t>Sources</t>
        </is>
      </c>
      <c r="B10" s="4" t="inlineStr">
        <is>
          <t>Labor: Footprints Floors of Central MA proposal #25584 (6/30/2026) — $9,057.60, materials excluded. Materials: Floor &amp; Decor Waltham cart (7/2026) — Sapelo Shore / Big Sur / Gunstock Oak + Sentinel underlayment, plus 7 stair noses @ $29.99 and 13 risers @ $20; 5% contractor discount on materials.</t>
        </is>
      </c>
    </row>
    <row r="12" ht="30" customHeight="1">
      <c r="A12" s="3" t="inlineStr">
        <is>
          <t>Tip</t>
        </is>
      </c>
      <c r="B12" s="4" t="inlineStr">
        <is>
          <t>In Google Sheets everything here — dropdowns, cross-tab formulas, formatting — survives File &gt; Import. Use 'Replace spreadsheet' when importing so tab references stay intact.</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tabColor rgb="00BF9000"/>
    <outlinePr summaryBelow="1" summaryRight="1"/>
    <pageSetUpPr/>
  </sheetPr>
  <dimension ref="A1:F47"/>
  <sheetViews>
    <sheetView showGridLines="0" workbookViewId="0">
      <pane ySplit="2" topLeftCell="A3" activePane="bottomLeft" state="frozen"/>
      <selection pane="bottomLeft" activeCell="A1" sqref="A1"/>
    </sheetView>
  </sheetViews>
  <sheetFormatPr baseColWidth="8" defaultRowHeight="15"/>
  <cols>
    <col width="36" customWidth="1" min="1" max="1"/>
    <col width="24" customWidth="1" min="2" max="2"/>
    <col width="24" customWidth="1" min="3" max="3"/>
    <col width="15" customWidth="1" min="4" max="4"/>
    <col width="15" customWidth="1" min="5" max="5"/>
    <col width="24" customWidth="1" min="6" max="6"/>
  </cols>
  <sheetData>
    <row r="1" ht="30" customHeight="1">
      <c r="A1" s="1" t="inlineStr">
        <is>
          <t>COST BASIS TRACKER</t>
        </is>
      </c>
    </row>
    <row r="2" ht="16" customHeight="1">
      <c r="A2" s="2" t="inlineStr">
        <is>
          <t>4 Indian Brook Road, Ashland, MA 01721</t>
        </is>
      </c>
    </row>
    <row r="4" ht="20" customHeight="1">
      <c r="A4" s="5" t="inlineStr">
        <is>
          <t>PROPERTY</t>
        </is>
      </c>
    </row>
    <row r="5">
      <c r="A5" s="6" t="inlineStr">
        <is>
          <t>Purchase price</t>
        </is>
      </c>
      <c r="B5" s="7" t="n">
        <v>1060000</v>
      </c>
    </row>
    <row r="6">
      <c r="A6" s="6" t="inlineStr">
        <is>
          <t>Closing date</t>
        </is>
      </c>
      <c r="B6" s="8" t="n">
        <v>46220</v>
      </c>
    </row>
    <row r="8" ht="20" customHeight="1">
      <c r="A8" s="5" t="inlineStr">
        <is>
          <t>1 — ACQUISITION COSTS  (purchase price + closing costs added to basis)</t>
        </is>
      </c>
    </row>
    <row r="9">
      <c r="A9" s="9" t="inlineStr">
        <is>
          <t>Item</t>
        </is>
      </c>
      <c r="B9" s="9" t="inlineStr">
        <is>
          <t>Amount</t>
        </is>
      </c>
      <c r="C9" s="9" t="inlineStr">
        <is>
          <t>Notes</t>
        </is>
      </c>
      <c r="D9" s="10" t="n"/>
      <c r="E9" s="10" t="n"/>
      <c r="F9" s="11" t="n"/>
    </row>
    <row r="10">
      <c r="A10" s="12" t="inlineStr">
        <is>
          <t>Purchase price</t>
        </is>
      </c>
      <c r="B10" s="7" t="n">
        <v>1060000</v>
      </c>
      <c r="C10" s="13" t="inlineStr"/>
      <c r="D10" s="10" t="n"/>
      <c r="E10" s="10" t="n"/>
      <c r="F10" s="11" t="n"/>
    </row>
    <row r="11">
      <c r="A11" s="12" t="inlineStr">
        <is>
          <t>Attorney / legal fees</t>
        </is>
      </c>
      <c r="B11" s="14" t="n"/>
      <c r="C11" s="13" t="inlineStr">
        <is>
          <t>From the closing disclosure</t>
        </is>
      </c>
      <c r="D11" s="10" t="n"/>
      <c r="E11" s="10" t="n"/>
      <c r="F11" s="11" t="n"/>
    </row>
    <row r="12">
      <c r="A12" s="12" t="inlineStr">
        <is>
          <t>Owner's title insurance</t>
        </is>
      </c>
      <c r="B12" s="14" t="n"/>
      <c r="C12" s="13" t="inlineStr"/>
      <c r="D12" s="10" t="n"/>
      <c r="E12" s="10" t="n"/>
      <c r="F12" s="11" t="n"/>
    </row>
    <row r="13">
      <c r="A13" s="12" t="inlineStr">
        <is>
          <t>Recording fees</t>
        </is>
      </c>
      <c r="B13" s="14" t="n"/>
      <c r="C13" s="13" t="inlineStr"/>
      <c r="D13" s="10" t="n"/>
      <c r="E13" s="10" t="n"/>
      <c r="F13" s="11" t="n"/>
    </row>
    <row r="14">
      <c r="A14" s="12" t="inlineStr">
        <is>
          <t>Survey / plot plan</t>
        </is>
      </c>
      <c r="B14" s="14" t="n"/>
      <c r="C14" s="13" t="inlineStr"/>
      <c r="D14" s="10" t="n"/>
      <c r="E14" s="10" t="n"/>
      <c r="F14" s="11" t="n"/>
    </row>
    <row r="15">
      <c r="A15" s="12" t="inlineStr">
        <is>
          <t>Transfer taxes paid by buyer (if any)</t>
        </is>
      </c>
      <c r="B15" s="14" t="n"/>
      <c r="C15" s="13" t="inlineStr">
        <is>
          <t>In MA the seller usually pays deed stamps</t>
        </is>
      </c>
      <c r="D15" s="10" t="n"/>
      <c r="E15" s="10" t="n"/>
      <c r="F15" s="11" t="n"/>
    </row>
    <row r="16">
      <c r="A16" s="12" t="inlineStr">
        <is>
          <t>Other closing costs added to basis</t>
        </is>
      </c>
      <c r="B16" s="14" t="n"/>
      <c r="C16" s="13" t="inlineStr"/>
      <c r="D16" s="10" t="n"/>
      <c r="E16" s="10" t="n"/>
      <c r="F16" s="11" t="n"/>
    </row>
    <row r="17">
      <c r="A17" s="15" t="inlineStr">
        <is>
          <t>Subtotal — acquisition basis</t>
        </is>
      </c>
      <c r="B17" s="16">
        <f>SUM(B10:B16)</f>
        <v/>
      </c>
    </row>
    <row r="19" ht="20" customHeight="1">
      <c r="A19" s="5" t="inlineStr">
        <is>
          <t>2 — CAPITAL IMPROVEMENTS  (auto-fed from each project tab's Actual total)</t>
        </is>
      </c>
    </row>
    <row r="20">
      <c r="A20" s="9" t="inlineStr">
        <is>
          <t>Date completed</t>
        </is>
      </c>
      <c r="B20" s="9" t="inlineStr">
        <is>
          <t>Project</t>
        </is>
      </c>
      <c r="C20" s="9" t="inlineStr">
        <is>
          <t>Where tracked</t>
        </is>
      </c>
      <c r="D20" s="9" t="inlineStr">
        <is>
          <t>Capital? (Y/N)</t>
        </is>
      </c>
      <c r="E20" s="9" t="inlineStr">
        <is>
          <t>Cost</t>
        </is>
      </c>
    </row>
    <row r="21">
      <c r="A21" s="8" t="n"/>
      <c r="B21" s="12" t="inlineStr">
        <is>
          <t>Second floor flooring</t>
        </is>
      </c>
      <c r="C21" s="12" t="inlineStr">
        <is>
          <t>Tab: 2nd Floor Flooring</t>
        </is>
      </c>
      <c r="D21" s="12" t="inlineStr">
        <is>
          <t>Y</t>
        </is>
      </c>
      <c r="E21" s="14">
        <f>'2nd Floor Flooring'!C43</f>
        <v/>
      </c>
    </row>
    <row r="22">
      <c r="A22" s="8" t="n"/>
      <c r="B22" s="12" t="n"/>
      <c r="C22" s="12" t="n"/>
      <c r="D22" s="12" t="n"/>
      <c r="E22" s="14" t="n"/>
    </row>
    <row r="23">
      <c r="A23" s="8" t="n"/>
      <c r="B23" s="12" t="n"/>
      <c r="C23" s="12" t="n"/>
      <c r="D23" s="12" t="n"/>
      <c r="E23" s="14" t="n"/>
    </row>
    <row r="24">
      <c r="A24" s="8" t="n"/>
      <c r="B24" s="12" t="n"/>
      <c r="C24" s="12" t="n"/>
      <c r="D24" s="12" t="n"/>
      <c r="E24" s="14" t="n"/>
    </row>
    <row r="25">
      <c r="A25" s="8" t="n"/>
      <c r="B25" s="12" t="n"/>
      <c r="C25" s="12" t="n"/>
      <c r="D25" s="12" t="n"/>
      <c r="E25" s="14" t="n"/>
    </row>
    <row r="26">
      <c r="A26" s="8" t="n"/>
      <c r="B26" s="12" t="n"/>
      <c r="C26" s="12" t="n"/>
      <c r="D26" s="12" t="n"/>
      <c r="E26" s="14" t="n"/>
    </row>
    <row r="27">
      <c r="A27" s="8" t="n"/>
      <c r="B27" s="12" t="n"/>
      <c r="C27" s="12" t="n"/>
      <c r="D27" s="12" t="n"/>
      <c r="E27" s="14" t="n"/>
    </row>
    <row r="28">
      <c r="A28" s="8" t="n"/>
      <c r="B28" s="12" t="n"/>
      <c r="C28" s="12" t="n"/>
      <c r="D28" s="12" t="n"/>
      <c r="E28" s="14" t="n"/>
    </row>
    <row r="29">
      <c r="A29" s="8" t="n"/>
      <c r="B29" s="12" t="n"/>
      <c r="C29" s="12" t="n"/>
      <c r="D29" s="12" t="n"/>
      <c r="E29" s="14" t="n"/>
    </row>
    <row r="30">
      <c r="A30" s="8" t="n"/>
      <c r="B30" s="12" t="n"/>
      <c r="C30" s="12" t="n"/>
      <c r="D30" s="12" t="n"/>
      <c r="E30" s="14" t="n"/>
    </row>
    <row r="31">
      <c r="A31" s="8" t="n"/>
      <c r="B31" s="12" t="n"/>
      <c r="C31" s="12" t="n"/>
      <c r="D31" s="12" t="n"/>
      <c r="E31" s="14" t="n"/>
    </row>
    <row r="32">
      <c r="A32" s="8" t="n"/>
      <c r="B32" s="12" t="n"/>
      <c r="C32" s="12" t="n"/>
      <c r="D32" s="12" t="n"/>
      <c r="E32" s="14" t="n"/>
    </row>
    <row r="33">
      <c r="A33" s="8" t="n"/>
      <c r="B33" s="12" t="n"/>
      <c r="C33" s="12" t="n"/>
      <c r="D33" s="12" t="n"/>
      <c r="E33" s="14" t="n"/>
    </row>
    <row r="34">
      <c r="A34" s="8" t="n"/>
      <c r="B34" s="12" t="n"/>
      <c r="C34" s="12" t="n"/>
      <c r="D34" s="12" t="n"/>
      <c r="E34" s="14" t="n"/>
    </row>
    <row r="35">
      <c r="A35" s="8" t="n"/>
      <c r="B35" s="12" t="n"/>
      <c r="C35" s="12" t="n"/>
      <c r="D35" s="12" t="n"/>
      <c r="E35" s="14" t="n"/>
    </row>
    <row r="36">
      <c r="A36" s="8" t="n"/>
      <c r="B36" s="12" t="n"/>
      <c r="C36" s="12" t="n"/>
      <c r="D36" s="12" t="n"/>
      <c r="E36" s="14" t="n"/>
    </row>
    <row r="37">
      <c r="A37" s="8" t="n"/>
      <c r="B37" s="12" t="n"/>
      <c r="C37" s="12" t="n"/>
      <c r="D37" s="12" t="n"/>
      <c r="E37" s="14" t="n"/>
    </row>
    <row r="38">
      <c r="A38" s="8" t="n"/>
      <c r="B38" s="12" t="n"/>
      <c r="C38" s="12" t="n"/>
      <c r="D38" s="12" t="n"/>
      <c r="E38" s="14" t="n"/>
    </row>
    <row r="39">
      <c r="A39" s="8" t="n"/>
      <c r="B39" s="12" t="n"/>
      <c r="C39" s="12" t="n"/>
      <c r="D39" s="12" t="n"/>
      <c r="E39" s="14" t="n"/>
    </row>
    <row r="40">
      <c r="A40" s="8" t="n"/>
      <c r="B40" s="12" t="n"/>
      <c r="C40" s="12" t="n"/>
      <c r="D40" s="12" t="n"/>
      <c r="E40" s="14" t="n"/>
    </row>
    <row r="41">
      <c r="A41" s="15" t="inlineStr">
        <is>
          <t>Subtotal — capital improvements</t>
        </is>
      </c>
      <c r="E41" s="16">
        <f>SUMIF(D21:D40,"Y",E21:E40)</f>
        <v/>
      </c>
    </row>
    <row r="43" ht="26" customHeight="1">
      <c r="A43" s="17" t="inlineStr">
        <is>
          <t>ADJUSTED COST BASIS</t>
        </is>
      </c>
      <c r="D43" s="18">
        <f>B17+E41</f>
        <v/>
      </c>
      <c r="E43" s="11" t="n"/>
    </row>
    <row r="45">
      <c r="A45" s="19" t="inlineStr">
        <is>
          <t>• Only capital improvements (things that add value or extend the property's life) add to basis — new floors yes, repainting a room no.</t>
        </is>
      </c>
    </row>
    <row r="46">
      <c r="A46" s="19" t="inlineStr">
        <is>
          <t>• Set Capital? to N for repairs you still want to track; they'll be listed but excluded from the basis total.</t>
        </is>
      </c>
    </row>
    <row r="47">
      <c r="A47" s="19" t="inlineStr">
        <is>
          <t>• Keep receipts and contracts for everything on this sheet. This is a tracking aid, not tax advice.</t>
        </is>
      </c>
    </row>
  </sheetData>
  <mergeCells count="18">
    <mergeCell ref="C13:F13"/>
    <mergeCell ref="A2:F2"/>
    <mergeCell ref="C9:F9"/>
    <mergeCell ref="A47:F47"/>
    <mergeCell ref="A46:F46"/>
    <mergeCell ref="A19:F19"/>
    <mergeCell ref="D43:E43"/>
    <mergeCell ref="A1:F1"/>
    <mergeCell ref="C12:F12"/>
    <mergeCell ref="A45:F45"/>
    <mergeCell ref="A8:F8"/>
    <mergeCell ref="C16:F16"/>
    <mergeCell ref="C15:F15"/>
    <mergeCell ref="A4:F4"/>
    <mergeCell ref="C11:F11"/>
    <mergeCell ref="C10:F10"/>
    <mergeCell ref="A43:C43"/>
    <mergeCell ref="C14:F14"/>
  </mergeCells>
  <dataValidations count="1">
    <dataValidation sqref="D21 D22 D23 D24 D25 D26 D27 D28 D29 D30 D31 D32 D33 D34 D35 D36 D37 D38 D39 D4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147"/>
  <sheetViews>
    <sheetView showGridLines="0" workbookViewId="0">
      <pane ySplit="2" topLeftCell="A3" activePane="bottomLeft" state="frozen"/>
      <selection pane="bottomLeft" activeCell="A1" sqref="A1"/>
    </sheetView>
  </sheetViews>
  <sheetFormatPr baseColWidth="8" defaultRowHeight="15"/>
  <cols>
    <col width="34" customWidth="1" min="1" max="1"/>
    <col width="17" customWidth="1" min="2" max="2"/>
    <col width="20" customWidth="1" min="3" max="3"/>
    <col width="17" customWidth="1" min="4" max="4"/>
    <col width="15" customWidth="1" min="5" max="5"/>
    <col width="15" customWidth="1" min="6" max="6"/>
    <col width="26" customWidth="1" min="7" max="7"/>
  </cols>
  <sheetData>
    <row r="1" ht="30" customHeight="1">
      <c r="A1" s="1" t="inlineStr">
        <is>
          <t>PROJECT — SECOND FLOOR FLOORING</t>
        </is>
      </c>
    </row>
    <row r="2" ht="16" customHeight="1">
      <c r="A2" s="2" t="inlineStr">
        <is>
          <t>4 Indian Brook Road, Ashland, MA 01721</t>
        </is>
      </c>
    </row>
    <row r="4" ht="20" customHeight="1">
      <c r="A4" s="5" t="inlineStr">
        <is>
          <t>PROJECT INFO</t>
        </is>
      </c>
    </row>
    <row r="5">
      <c r="A5" s="6" t="inlineStr">
        <is>
          <t>Status</t>
        </is>
      </c>
      <c r="B5" s="20" t="inlineStr">
        <is>
          <t>Quoting</t>
        </is>
      </c>
    </row>
    <row r="6">
      <c r="A6" s="6" t="inlineStr">
        <is>
          <t>Contractor / quote</t>
        </is>
      </c>
      <c r="B6" s="20" t="inlineStr">
        <is>
          <t>Footprints Floors of Central MA (ACS Custom Solutions Inc.) — Proposal #25584, 6/30/2026. Labor only; 50% deposit ($4,528.80) before work, balance on completion.</t>
        </is>
      </c>
    </row>
    <row r="7">
      <c r="A7" s="6" t="inlineStr">
        <is>
          <t>Materials source</t>
        </is>
      </c>
      <c r="B7" s="20" t="inlineStr">
        <is>
          <t>Floor &amp; Decor, Waltham MA (cart re-priced 7/2026); 5% materials discount through flooring contractor</t>
        </is>
      </c>
    </row>
    <row r="8">
      <c r="A8" s="6" t="inlineStr">
        <is>
          <t>Selected option</t>
        </is>
      </c>
      <c r="B8" s="21" t="n"/>
    </row>
    <row r="9">
      <c r="A9" s="6" t="inlineStr">
        <is>
          <t>Contingency %</t>
        </is>
      </c>
      <c r="B9" s="22" t="n">
        <v>0.1</v>
      </c>
    </row>
    <row r="10" ht="28" customHeight="1">
      <c r="A10" s="6" t="inlineStr">
        <is>
          <t>Notes</t>
        </is>
      </c>
      <c r="B10" s="23" t="inlineStr">
        <is>
          <t>Labor quote excludes materials. Subfloor leveling/remediation not included and may add cost once carpet is removed. 3% fee on credit card payments (max $3,000/card per project).</t>
        </is>
      </c>
    </row>
    <row r="12" ht="20" customHeight="1">
      <c r="A12" s="5" t="inlineStr">
        <is>
          <t>STEP 1 — COMPARE OPTIONS  (estimated all-in cost per option)</t>
        </is>
      </c>
    </row>
    <row r="13">
      <c r="A13" s="9" t="inlineStr">
        <is>
          <t>Cost component</t>
        </is>
      </c>
      <c r="B13" s="24" t="inlineStr">
        <is>
          <t>Sapelo Shore</t>
        </is>
      </c>
      <c r="C13" s="24" t="inlineStr">
        <is>
          <t>Big Sur</t>
        </is>
      </c>
      <c r="D13" s="24" t="inlineStr">
        <is>
          <t>Gunstock Oak</t>
        </is>
      </c>
      <c r="E13" s="9" t="inlineStr">
        <is>
          <t>Notes</t>
        </is>
      </c>
    </row>
    <row r="14">
      <c r="A14" s="25" t="inlineStr">
        <is>
          <t>Item # / SKU</t>
        </is>
      </c>
      <c r="B14" s="26" t="inlineStr">
        <is>
          <t>101128890</t>
        </is>
      </c>
      <c r="C14" s="26" t="inlineStr">
        <is>
          <t>101069698</t>
        </is>
      </c>
      <c r="D14" s="26" t="inlineStr">
        <is>
          <t>101068104</t>
        </is>
      </c>
      <c r="E14" s="27" t="inlineStr">
        <is>
          <t>All Floor &amp; Decor. Sapelo Shore &amp; Big Sur: waterproof hybrid resilient plank w/ cork pad, 8mm 7"x51". Gunstock Oak: waterproof rigid core LVP.</t>
        </is>
      </c>
      <c r="F14" s="10" t="n"/>
      <c r="G14" s="11" t="n"/>
    </row>
    <row r="15">
      <c r="A15" s="25" t="inlineStr">
        <is>
          <t>Price per box</t>
        </is>
      </c>
      <c r="B15" s="28" t="n">
        <v>61.71</v>
      </c>
      <c r="C15" s="28" t="n">
        <v>97.08</v>
      </c>
      <c r="D15" s="28" t="n">
        <v>75.56999999999999</v>
      </c>
      <c r="E15" s="12" t="n"/>
    </row>
    <row r="16">
      <c r="A16" s="25" t="inlineStr">
        <is>
          <t>Boxes needed</t>
        </is>
      </c>
      <c r="B16" s="29" t="n">
        <v>66</v>
      </c>
      <c r="C16" s="29" t="n">
        <v>60</v>
      </c>
      <c r="D16" s="29" t="n">
        <v>64</v>
      </c>
      <c r="E16" s="12" t="n"/>
    </row>
    <row r="17">
      <c r="A17" s="25" t="inlineStr">
        <is>
          <t>Flooring material</t>
        </is>
      </c>
      <c r="B17" s="28">
        <f>B15*B16</f>
        <v/>
      </c>
      <c r="C17" s="28">
        <f>C15*C16</f>
        <v/>
      </c>
      <c r="D17" s="28">
        <f>D15*D16</f>
        <v/>
      </c>
      <c r="E17" s="12" t="n"/>
    </row>
    <row r="18">
      <c r="A18" s="25" t="inlineStr">
        <is>
          <t>Underlayment &amp; supplies</t>
        </is>
      </c>
      <c r="B18" s="28">
        <f>13*59.99</f>
        <v/>
      </c>
      <c r="C18" s="28">
        <f>13*59.99</f>
        <v/>
      </c>
      <c r="D18" s="28">
        <f>13*59.99</f>
        <v/>
      </c>
      <c r="E18" s="27" t="inlineStr">
        <is>
          <t>Sentinel Protect Plus underlayment — 13 rolls x $59.99 (100 sqft each), same for every option.</t>
        </is>
      </c>
      <c r="F18" s="10" t="n"/>
      <c r="G18" s="11" t="n"/>
    </row>
    <row r="19">
      <c r="A19" s="25" t="inlineStr">
        <is>
          <t>Stair nose trim</t>
        </is>
      </c>
      <c r="B19" s="28">
        <f>7*29.99</f>
        <v/>
      </c>
      <c r="C19" s="28">
        <f>7*29.99</f>
        <v/>
      </c>
      <c r="D19" s="28">
        <f>7*29.99</f>
        <v/>
      </c>
      <c r="E19" s="27" t="inlineStr">
        <is>
          <t>7 stair noses x $29.99.</t>
        </is>
      </c>
      <c r="F19" s="10" t="n"/>
      <c r="G19" s="11" t="n"/>
    </row>
    <row r="20">
      <c r="A20" s="25" t="inlineStr">
        <is>
          <t>Stair risers</t>
        </is>
      </c>
      <c r="B20" s="28">
        <f>13*20</f>
        <v/>
      </c>
      <c r="C20" s="28">
        <f>13*20</f>
        <v/>
      </c>
      <c r="D20" s="28">
        <f>13*20</f>
        <v/>
      </c>
      <c r="E20" s="27" t="inlineStr">
        <is>
          <t>13 risers x $20.00.</t>
        </is>
      </c>
      <c r="F20" s="10" t="n"/>
      <c r="G20" s="11" t="n"/>
    </row>
    <row r="21">
      <c r="A21" s="25" t="inlineStr">
        <is>
          <t>Contractor discount on materials (5%)</t>
        </is>
      </c>
      <c r="B21" s="28">
        <f>-0.05*SUM(B17:B20)</f>
        <v/>
      </c>
      <c r="C21" s="28">
        <f>-0.05*SUM(C17:C20)</f>
        <v/>
      </c>
      <c r="D21" s="28">
        <f>-0.05*SUM(D17:D20)</f>
        <v/>
      </c>
      <c r="E21" s="27" t="inlineStr">
        <is>
          <t>5% off all materials through the flooring contractor.</t>
        </is>
      </c>
      <c r="F21" s="10" t="n"/>
      <c r="G21" s="11" t="n"/>
    </row>
    <row r="22">
      <c r="A22" s="25" t="inlineStr">
        <is>
          <t>Est. sales tax (6.25% MA, materials)</t>
        </is>
      </c>
      <c r="B22" s="28">
        <f>SUM(B17:B21)*0.0625</f>
        <v/>
      </c>
      <c r="C22" s="28">
        <f>SUM(C17:C21)*0.0625</f>
        <v/>
      </c>
      <c r="D22" s="28">
        <f>SUM(D17:D21)*0.0625</f>
        <v/>
      </c>
      <c r="E22" s="12" t="n"/>
    </row>
    <row r="23">
      <c r="A23" s="25" t="inlineStr">
        <is>
          <t>Labor — demo &amp; disposal</t>
        </is>
      </c>
      <c r="B23" s="28" t="n">
        <v>2642.3</v>
      </c>
      <c r="C23" s="28" t="n">
        <v>2642.3</v>
      </c>
      <c r="D23" s="28" t="n">
        <v>2642.3</v>
      </c>
      <c r="E23" s="27" t="inlineStr">
        <is>
          <t>Footprints: demo carpet, remove &amp; return baseboards, trash removal.</t>
        </is>
      </c>
      <c r="F23" s="10" t="n"/>
      <c r="G23" s="11" t="n"/>
    </row>
    <row r="24">
      <c r="A24" s="25" t="inlineStr">
        <is>
          <t>Labor — install</t>
        </is>
      </c>
      <c r="B24" s="28" t="n">
        <v>4535.3</v>
      </c>
      <c r="C24" s="28" t="n">
        <v>4535.3</v>
      </c>
      <c r="D24" s="28" t="n">
        <v>4535.3</v>
      </c>
      <c r="E24" s="27" t="inlineStr">
        <is>
          <t>Footprints: install click-lock floating floor.</t>
        </is>
      </c>
      <c r="F24" s="10" t="n"/>
      <c r="G24" s="11" t="n"/>
    </row>
    <row r="25">
      <c r="A25" s="25" t="inlineStr">
        <is>
          <t>Labor — stairs (treads &amp; risers)</t>
        </is>
      </c>
      <c r="B25" s="28" t="n">
        <v>1880</v>
      </c>
      <c r="C25" s="28" t="n">
        <v>1880</v>
      </c>
      <c r="D25" s="28" t="n">
        <v>1880</v>
      </c>
      <c r="E25" s="12" t="n"/>
    </row>
    <row r="26">
      <c r="A26" s="30" t="inlineStr">
        <is>
          <t>TOTAL ESTIMATED</t>
        </is>
      </c>
      <c r="B26" s="31">
        <f>SUM(B17:B25)</f>
        <v/>
      </c>
      <c r="C26" s="31">
        <f>SUM(C17:C25)</f>
        <v/>
      </c>
      <c r="D26" s="31">
        <f>SUM(D17:D25)</f>
        <v/>
      </c>
      <c r="E26" s="27" t="inlineStr">
        <is>
          <t>Labor $9,057.60 is identical across options, so the spread comes entirely from the plank you pick.</t>
        </is>
      </c>
      <c r="F26" s="10" t="n"/>
      <c r="G26" s="11" t="n"/>
    </row>
    <row r="27">
      <c r="A27" s="32" t="inlineStr">
        <is>
          <t>Premium vs. cheapest option</t>
        </is>
      </c>
      <c r="B27" s="33">
        <f>B26-MIN($B$26:$D$26)</f>
        <v/>
      </c>
      <c r="C27" s="33">
        <f>C26-MIN($B$26:$D$26)</f>
        <v/>
      </c>
      <c r="D27" s="33">
        <f>D26-MIN($B$26:$D$26)</f>
        <v/>
      </c>
      <c r="E27" s="12" t="n"/>
    </row>
    <row r="29" ht="20" customHeight="1">
      <c r="A29" s="5" t="inlineStr">
        <is>
          <t>STEP 2 — BUDGET vs. ACTUAL  (budget auto-fills from the selected option)</t>
        </is>
      </c>
    </row>
    <row r="30">
      <c r="A30" s="9" t="inlineStr">
        <is>
          <t>Category</t>
        </is>
      </c>
      <c r="B30" s="9" t="inlineStr">
        <is>
          <t>Budget</t>
        </is>
      </c>
      <c r="C30" s="9" t="inlineStr">
        <is>
          <t>Actual (from cost log)</t>
        </is>
      </c>
      <c r="D30" s="9" t="inlineStr">
        <is>
          <t>Remaining</t>
        </is>
      </c>
    </row>
    <row r="31">
      <c r="A31" s="12" t="inlineStr">
        <is>
          <t>Flooring materials</t>
        </is>
      </c>
      <c r="B31" s="14">
        <f>IF($B$8="","",HLOOKUP($B$8,$B$13:$D$26,5,FALSE))</f>
        <v/>
      </c>
      <c r="C31" s="14">
        <f>SUMIF($D$48:$D$147,$A31,$E$48:$E$147)</f>
        <v/>
      </c>
      <c r="D31" s="14">
        <f>IF(B31="","",B31-C31)</f>
        <v/>
      </c>
    </row>
    <row r="32">
      <c r="A32" s="12" t="inlineStr">
        <is>
          <t>Underlayment &amp; supplies</t>
        </is>
      </c>
      <c r="B32" s="14">
        <f>IF($B$8="","",HLOOKUP($B$8,$B$13:$D$26,6,FALSE))</f>
        <v/>
      </c>
      <c r="C32" s="14">
        <f>SUMIF($D$48:$D$147,$A32,$E$48:$E$147)</f>
        <v/>
      </c>
      <c r="D32" s="14">
        <f>IF(B32="","",B32-C32)</f>
        <v/>
      </c>
    </row>
    <row r="33">
      <c r="A33" s="12" t="inlineStr">
        <is>
          <t>Stair nose trim</t>
        </is>
      </c>
      <c r="B33" s="14">
        <f>IF($B$8="","",HLOOKUP($B$8,$B$13:$D$26,7,FALSE))</f>
        <v/>
      </c>
      <c r="C33" s="14">
        <f>SUMIF($D$48:$D$147,$A33,$E$48:$E$147)</f>
        <v/>
      </c>
      <c r="D33" s="14">
        <f>IF(B33="","",B33-C33)</f>
        <v/>
      </c>
    </row>
    <row r="34">
      <c r="A34" s="12" t="inlineStr">
        <is>
          <t>Stair risers</t>
        </is>
      </c>
      <c r="B34" s="14">
        <f>IF($B$8="","",HLOOKUP($B$8,$B$13:$D$26,8,FALSE))</f>
        <v/>
      </c>
      <c r="C34" s="14">
        <f>SUMIF($D$48:$D$147,$A34,$E$48:$E$147)</f>
        <v/>
      </c>
      <c r="D34" s="14">
        <f>IF(B34="","",B34-C34)</f>
        <v/>
      </c>
    </row>
    <row r="35">
      <c r="A35" s="12" t="inlineStr">
        <is>
          <t>Contractor discount</t>
        </is>
      </c>
      <c r="B35" s="14">
        <f>IF($B$8="","",HLOOKUP($B$8,$B$13:$D$26,9,FALSE))</f>
        <v/>
      </c>
      <c r="C35" s="14">
        <f>SUMIF($D$48:$D$147,$A35,$E$48:$E$147)</f>
        <v/>
      </c>
      <c r="D35" s="14">
        <f>IF(B35="","",B35-C35)</f>
        <v/>
      </c>
    </row>
    <row r="36">
      <c r="A36" s="12" t="inlineStr">
        <is>
          <t>Sales tax</t>
        </is>
      </c>
      <c r="B36" s="14">
        <f>IF($B$8="","",HLOOKUP($B$8,$B$13:$D$26,10,FALSE))</f>
        <v/>
      </c>
      <c r="C36" s="14">
        <f>SUMIF($D$48:$D$147,$A36,$E$48:$E$147)</f>
        <v/>
      </c>
      <c r="D36" s="14">
        <f>IF(B36="","",B36-C36)</f>
        <v/>
      </c>
    </row>
    <row r="37">
      <c r="A37" s="12" t="inlineStr">
        <is>
          <t>Labor — demo &amp; disposal</t>
        </is>
      </c>
      <c r="B37" s="14">
        <f>IF($B$8="","",HLOOKUP($B$8,$B$13:$D$26,11,FALSE))</f>
        <v/>
      </c>
      <c r="C37" s="14">
        <f>SUMIF($D$48:$D$147,$A37,$E$48:$E$147)</f>
        <v/>
      </c>
      <c r="D37" s="14">
        <f>IF(B37="","",B37-C37)</f>
        <v/>
      </c>
    </row>
    <row r="38">
      <c r="A38" s="12" t="inlineStr">
        <is>
          <t>Labor — install</t>
        </is>
      </c>
      <c r="B38" s="14">
        <f>IF($B$8="","",HLOOKUP($B$8,$B$13:$D$26,12,FALSE))</f>
        <v/>
      </c>
      <c r="C38" s="14">
        <f>SUMIF($D$48:$D$147,$A38,$E$48:$E$147)</f>
        <v/>
      </c>
      <c r="D38" s="14">
        <f>IF(B38="","",B38-C38)</f>
        <v/>
      </c>
    </row>
    <row r="39">
      <c r="A39" s="12" t="inlineStr">
        <is>
          <t>Labor — stairs</t>
        </is>
      </c>
      <c r="B39" s="14">
        <f>IF($B$8="","",HLOOKUP($B$8,$B$13:$D$26,13,FALSE))</f>
        <v/>
      </c>
      <c r="C39" s="14">
        <f>SUMIF($D$48:$D$147,$A39,$E$48:$E$147)</f>
        <v/>
      </c>
      <c r="D39" s="14">
        <f>IF(B39="","",B39-C39)</f>
        <v/>
      </c>
    </row>
    <row r="40">
      <c r="A40" s="12" t="inlineStr">
        <is>
          <t>Permits &amp; fees</t>
        </is>
      </c>
      <c r="B40" s="14" t="n"/>
      <c r="C40" s="14">
        <f>SUMIF($D$48:$D$147,$A40,$E$48:$E$147)</f>
        <v/>
      </c>
      <c r="D40" s="14">
        <f>IF(B40="","",B40-C40)</f>
        <v/>
      </c>
    </row>
    <row r="41">
      <c r="A41" s="12" t="inlineStr">
        <is>
          <t>Other</t>
        </is>
      </c>
      <c r="B41" s="14" t="n"/>
      <c r="C41" s="14">
        <f>SUMIF($D$48:$D$147,$A41,$E$48:$E$147)</f>
        <v/>
      </c>
      <c r="D41" s="14">
        <f>IF(B41="","",B41-C41)</f>
        <v/>
      </c>
    </row>
    <row r="42">
      <c r="A42" s="12" t="inlineStr">
        <is>
          <t>Contingency</t>
        </is>
      </c>
      <c r="B42" s="14">
        <f>SUM(B31:B41)*$B$9</f>
        <v/>
      </c>
      <c r="C42" s="14" t="n"/>
      <c r="D42" s="14">
        <f>B42-C42</f>
        <v/>
      </c>
    </row>
    <row r="43">
      <c r="A43" s="30" t="inlineStr">
        <is>
          <t>TOTAL</t>
        </is>
      </c>
      <c r="B43" s="34">
        <f>SUM(B31:B42)</f>
        <v/>
      </c>
      <c r="C43" s="34">
        <f>SUM(C31:C42)</f>
        <v/>
      </c>
      <c r="D43" s="34">
        <f>B43-C43</f>
        <v/>
      </c>
    </row>
    <row r="44">
      <c r="A44" s="19" t="inlineStr">
        <is>
          <t>The Actual total (C43) is what feeds the Basis Tracker. Log receipts net of discount, or log the discount as a negative amount under 'Contractor discount'.</t>
        </is>
      </c>
    </row>
    <row r="46" ht="20" customHeight="1">
      <c r="A46" s="5" t="inlineStr">
        <is>
          <t>STEP 3 — COST LOG  (record every payment; Actuals above update automatically)</t>
        </is>
      </c>
    </row>
    <row r="47">
      <c r="A47" s="9" t="inlineStr">
        <is>
          <t>Date</t>
        </is>
      </c>
      <c r="B47" s="9" t="inlineStr">
        <is>
          <t>Vendor</t>
        </is>
      </c>
      <c r="C47" s="9" t="inlineStr">
        <is>
          <t>Description</t>
        </is>
      </c>
      <c r="D47" s="9" t="inlineStr">
        <is>
          <t>Category</t>
        </is>
      </c>
      <c r="E47" s="9" t="inlineStr">
        <is>
          <t>Amount</t>
        </is>
      </c>
      <c r="F47" s="9" t="inlineStr">
        <is>
          <t>Payment method</t>
        </is>
      </c>
      <c r="G47" s="9" t="inlineStr">
        <is>
          <t>Notes</t>
        </is>
      </c>
    </row>
    <row r="48">
      <c r="A48" s="8" t="n"/>
      <c r="B48" s="12" t="n"/>
      <c r="C48" s="12" t="n"/>
      <c r="D48" s="12" t="n"/>
      <c r="E48" s="14" t="n"/>
      <c r="F48" s="12" t="n"/>
      <c r="G48" s="12" t="n"/>
    </row>
    <row r="49">
      <c r="A49" s="8" t="n"/>
      <c r="B49" s="12" t="n"/>
      <c r="C49" s="12" t="n"/>
      <c r="D49" s="12" t="n"/>
      <c r="E49" s="14" t="n"/>
      <c r="F49" s="12" t="n"/>
      <c r="G49" s="12" t="n"/>
    </row>
    <row r="50">
      <c r="A50" s="8" t="n"/>
      <c r="B50" s="12" t="n"/>
      <c r="C50" s="12" t="n"/>
      <c r="D50" s="12" t="n"/>
      <c r="E50" s="14" t="n"/>
      <c r="F50" s="12" t="n"/>
      <c r="G50" s="12" t="n"/>
    </row>
    <row r="51">
      <c r="A51" s="8" t="n"/>
      <c r="B51" s="12" t="n"/>
      <c r="C51" s="12" t="n"/>
      <c r="D51" s="12" t="n"/>
      <c r="E51" s="14" t="n"/>
      <c r="F51" s="12" t="n"/>
      <c r="G51" s="12" t="n"/>
    </row>
    <row r="52">
      <c r="A52" s="8" t="n"/>
      <c r="B52" s="12" t="n"/>
      <c r="C52" s="12" t="n"/>
      <c r="D52" s="12" t="n"/>
      <c r="E52" s="14" t="n"/>
      <c r="F52" s="12" t="n"/>
      <c r="G52" s="12" t="n"/>
    </row>
    <row r="53">
      <c r="A53" s="8" t="n"/>
      <c r="B53" s="12" t="n"/>
      <c r="C53" s="12" t="n"/>
      <c r="D53" s="12" t="n"/>
      <c r="E53" s="14" t="n"/>
      <c r="F53" s="12" t="n"/>
      <c r="G53" s="12" t="n"/>
    </row>
    <row r="54">
      <c r="A54" s="8" t="n"/>
      <c r="B54" s="12" t="n"/>
      <c r="C54" s="12" t="n"/>
      <c r="D54" s="12" t="n"/>
      <c r="E54" s="14" t="n"/>
      <c r="F54" s="12" t="n"/>
      <c r="G54" s="12" t="n"/>
    </row>
    <row r="55">
      <c r="A55" s="8" t="n"/>
      <c r="B55" s="12" t="n"/>
      <c r="C55" s="12" t="n"/>
      <c r="D55" s="12" t="n"/>
      <c r="E55" s="14" t="n"/>
      <c r="F55" s="12" t="n"/>
      <c r="G55" s="12" t="n"/>
    </row>
    <row r="56">
      <c r="A56" s="8" t="n"/>
      <c r="B56" s="12" t="n"/>
      <c r="C56" s="12" t="n"/>
      <c r="D56" s="12" t="n"/>
      <c r="E56" s="14" t="n"/>
      <c r="F56" s="12" t="n"/>
      <c r="G56" s="12" t="n"/>
    </row>
    <row r="57">
      <c r="A57" s="8" t="n"/>
      <c r="B57" s="12" t="n"/>
      <c r="C57" s="12" t="n"/>
      <c r="D57" s="12" t="n"/>
      <c r="E57" s="14" t="n"/>
      <c r="F57" s="12" t="n"/>
      <c r="G57" s="12" t="n"/>
    </row>
    <row r="58">
      <c r="A58" s="8" t="n"/>
      <c r="B58" s="12" t="n"/>
      <c r="C58" s="12" t="n"/>
      <c r="D58" s="12" t="n"/>
      <c r="E58" s="14" t="n"/>
      <c r="F58" s="12" t="n"/>
      <c r="G58" s="12" t="n"/>
    </row>
    <row r="59">
      <c r="A59" s="8" t="n"/>
      <c r="B59" s="12" t="n"/>
      <c r="C59" s="12" t="n"/>
      <c r="D59" s="12" t="n"/>
      <c r="E59" s="14" t="n"/>
      <c r="F59" s="12" t="n"/>
      <c r="G59" s="12" t="n"/>
    </row>
    <row r="60">
      <c r="A60" s="8" t="n"/>
      <c r="B60" s="12" t="n"/>
      <c r="C60" s="12" t="n"/>
      <c r="D60" s="12" t="n"/>
      <c r="E60" s="14" t="n"/>
      <c r="F60" s="12" t="n"/>
      <c r="G60" s="12" t="n"/>
    </row>
    <row r="61">
      <c r="A61" s="8" t="n"/>
      <c r="B61" s="12" t="n"/>
      <c r="C61" s="12" t="n"/>
      <c r="D61" s="12" t="n"/>
      <c r="E61" s="14" t="n"/>
      <c r="F61" s="12" t="n"/>
      <c r="G61" s="12" t="n"/>
    </row>
    <row r="62">
      <c r="A62" s="8" t="n"/>
      <c r="B62" s="12" t="n"/>
      <c r="C62" s="12" t="n"/>
      <c r="D62" s="12" t="n"/>
      <c r="E62" s="14" t="n"/>
      <c r="F62" s="12" t="n"/>
      <c r="G62" s="12" t="n"/>
    </row>
    <row r="63">
      <c r="A63" s="8" t="n"/>
      <c r="B63" s="12" t="n"/>
      <c r="C63" s="12" t="n"/>
      <c r="D63" s="12" t="n"/>
      <c r="E63" s="14" t="n"/>
      <c r="F63" s="12" t="n"/>
      <c r="G63" s="12" t="n"/>
    </row>
    <row r="64">
      <c r="A64" s="8" t="n"/>
      <c r="B64" s="12" t="n"/>
      <c r="C64" s="12" t="n"/>
      <c r="D64" s="12" t="n"/>
      <c r="E64" s="14" t="n"/>
      <c r="F64" s="12" t="n"/>
      <c r="G64" s="12" t="n"/>
    </row>
    <row r="65">
      <c r="A65" s="8" t="n"/>
      <c r="B65" s="12" t="n"/>
      <c r="C65" s="12" t="n"/>
      <c r="D65" s="12" t="n"/>
      <c r="E65" s="14" t="n"/>
      <c r="F65" s="12" t="n"/>
      <c r="G65" s="12" t="n"/>
    </row>
    <row r="66">
      <c r="A66" s="8" t="n"/>
      <c r="B66" s="12" t="n"/>
      <c r="C66" s="12" t="n"/>
      <c r="D66" s="12" t="n"/>
      <c r="E66" s="14" t="n"/>
      <c r="F66" s="12" t="n"/>
      <c r="G66" s="12" t="n"/>
    </row>
    <row r="67">
      <c r="A67" s="8" t="n"/>
      <c r="B67" s="12" t="n"/>
      <c r="C67" s="12" t="n"/>
      <c r="D67" s="12" t="n"/>
      <c r="E67" s="14" t="n"/>
      <c r="F67" s="12" t="n"/>
      <c r="G67" s="12" t="n"/>
    </row>
    <row r="68">
      <c r="A68" s="8" t="n"/>
      <c r="B68" s="12" t="n"/>
      <c r="C68" s="12" t="n"/>
      <c r="D68" s="12" t="n"/>
      <c r="E68" s="14" t="n"/>
      <c r="F68" s="12" t="n"/>
      <c r="G68" s="12" t="n"/>
    </row>
    <row r="69">
      <c r="A69" s="8" t="n"/>
      <c r="B69" s="12" t="n"/>
      <c r="C69" s="12" t="n"/>
      <c r="D69" s="12" t="n"/>
      <c r="E69" s="14" t="n"/>
      <c r="F69" s="12" t="n"/>
      <c r="G69" s="12" t="n"/>
    </row>
    <row r="70">
      <c r="A70" s="8" t="n"/>
      <c r="B70" s="12" t="n"/>
      <c r="C70" s="12" t="n"/>
      <c r="D70" s="12" t="n"/>
      <c r="E70" s="14" t="n"/>
      <c r="F70" s="12" t="n"/>
      <c r="G70" s="12" t="n"/>
    </row>
    <row r="71">
      <c r="A71" s="8" t="n"/>
      <c r="B71" s="12" t="n"/>
      <c r="C71" s="12" t="n"/>
      <c r="D71" s="12" t="n"/>
      <c r="E71" s="14" t="n"/>
      <c r="F71" s="12" t="n"/>
      <c r="G71" s="12" t="n"/>
    </row>
    <row r="72">
      <c r="A72" s="8" t="n"/>
      <c r="B72" s="12" t="n"/>
      <c r="C72" s="12" t="n"/>
      <c r="D72" s="12" t="n"/>
      <c r="E72" s="14" t="n"/>
      <c r="F72" s="12" t="n"/>
      <c r="G72" s="12" t="n"/>
    </row>
    <row r="73">
      <c r="A73" s="8" t="n"/>
      <c r="B73" s="12" t="n"/>
      <c r="C73" s="12" t="n"/>
      <c r="D73" s="12" t="n"/>
      <c r="E73" s="14" t="n"/>
      <c r="F73" s="12" t="n"/>
      <c r="G73" s="12" t="n"/>
    </row>
    <row r="74">
      <c r="A74" s="8" t="n"/>
      <c r="B74" s="12" t="n"/>
      <c r="C74" s="12" t="n"/>
      <c r="D74" s="12" t="n"/>
      <c r="E74" s="14" t="n"/>
      <c r="F74" s="12" t="n"/>
      <c r="G74" s="12" t="n"/>
    </row>
    <row r="75">
      <c r="A75" s="8" t="n"/>
      <c r="B75" s="12" t="n"/>
      <c r="C75" s="12" t="n"/>
      <c r="D75" s="12" t="n"/>
      <c r="E75" s="14" t="n"/>
      <c r="F75" s="12" t="n"/>
      <c r="G75" s="12" t="n"/>
    </row>
    <row r="76">
      <c r="A76" s="8" t="n"/>
      <c r="B76" s="12" t="n"/>
      <c r="C76" s="12" t="n"/>
      <c r="D76" s="12" t="n"/>
      <c r="E76" s="14" t="n"/>
      <c r="F76" s="12" t="n"/>
      <c r="G76" s="12" t="n"/>
    </row>
    <row r="77">
      <c r="A77" s="8" t="n"/>
      <c r="B77" s="12" t="n"/>
      <c r="C77" s="12" t="n"/>
      <c r="D77" s="12" t="n"/>
      <c r="E77" s="14" t="n"/>
      <c r="F77" s="12" t="n"/>
      <c r="G77" s="12" t="n"/>
    </row>
    <row r="78">
      <c r="A78" s="8" t="n"/>
      <c r="B78" s="12" t="n"/>
      <c r="C78" s="12" t="n"/>
      <c r="D78" s="12" t="n"/>
      <c r="E78" s="14" t="n"/>
      <c r="F78" s="12" t="n"/>
      <c r="G78" s="12" t="n"/>
    </row>
    <row r="79">
      <c r="A79" s="8" t="n"/>
      <c r="B79" s="12" t="n"/>
      <c r="C79" s="12" t="n"/>
      <c r="D79" s="12" t="n"/>
      <c r="E79" s="14" t="n"/>
      <c r="F79" s="12" t="n"/>
      <c r="G79" s="12" t="n"/>
    </row>
    <row r="80">
      <c r="A80" s="8" t="n"/>
      <c r="B80" s="12" t="n"/>
      <c r="C80" s="12" t="n"/>
      <c r="D80" s="12" t="n"/>
      <c r="E80" s="14" t="n"/>
      <c r="F80" s="12" t="n"/>
      <c r="G80" s="12" t="n"/>
    </row>
    <row r="81">
      <c r="A81" s="8" t="n"/>
      <c r="B81" s="12" t="n"/>
      <c r="C81" s="12" t="n"/>
      <c r="D81" s="12" t="n"/>
      <c r="E81" s="14" t="n"/>
      <c r="F81" s="12" t="n"/>
      <c r="G81" s="12" t="n"/>
    </row>
    <row r="82">
      <c r="A82" s="8" t="n"/>
      <c r="B82" s="12" t="n"/>
      <c r="C82" s="12" t="n"/>
      <c r="D82" s="12" t="n"/>
      <c r="E82" s="14" t="n"/>
      <c r="F82" s="12" t="n"/>
      <c r="G82" s="12" t="n"/>
    </row>
    <row r="83">
      <c r="A83" s="8" t="n"/>
      <c r="B83" s="12" t="n"/>
      <c r="C83" s="12" t="n"/>
      <c r="D83" s="12" t="n"/>
      <c r="E83" s="14" t="n"/>
      <c r="F83" s="12" t="n"/>
      <c r="G83" s="12" t="n"/>
    </row>
    <row r="84">
      <c r="A84" s="8" t="n"/>
      <c r="B84" s="12" t="n"/>
      <c r="C84" s="12" t="n"/>
      <c r="D84" s="12" t="n"/>
      <c r="E84" s="14" t="n"/>
      <c r="F84" s="12" t="n"/>
      <c r="G84" s="12" t="n"/>
    </row>
    <row r="85">
      <c r="A85" s="8" t="n"/>
      <c r="B85" s="12" t="n"/>
      <c r="C85" s="12" t="n"/>
      <c r="D85" s="12" t="n"/>
      <c r="E85" s="14" t="n"/>
      <c r="F85" s="12" t="n"/>
      <c r="G85" s="12" t="n"/>
    </row>
    <row r="86">
      <c r="A86" s="8" t="n"/>
      <c r="B86" s="12" t="n"/>
      <c r="C86" s="12" t="n"/>
      <c r="D86" s="12" t="n"/>
      <c r="E86" s="14" t="n"/>
      <c r="F86" s="12" t="n"/>
      <c r="G86" s="12" t="n"/>
    </row>
    <row r="87">
      <c r="A87" s="8" t="n"/>
      <c r="B87" s="12" t="n"/>
      <c r="C87" s="12" t="n"/>
      <c r="D87" s="12" t="n"/>
      <c r="E87" s="14" t="n"/>
      <c r="F87" s="12" t="n"/>
      <c r="G87" s="12" t="n"/>
    </row>
    <row r="88">
      <c r="A88" s="8" t="n"/>
      <c r="B88" s="12" t="n"/>
      <c r="C88" s="12" t="n"/>
      <c r="D88" s="12" t="n"/>
      <c r="E88" s="14" t="n"/>
      <c r="F88" s="12" t="n"/>
      <c r="G88" s="12" t="n"/>
    </row>
    <row r="89">
      <c r="A89" s="8" t="n"/>
      <c r="B89" s="12" t="n"/>
      <c r="C89" s="12" t="n"/>
      <c r="D89" s="12" t="n"/>
      <c r="E89" s="14" t="n"/>
      <c r="F89" s="12" t="n"/>
      <c r="G89" s="12" t="n"/>
    </row>
    <row r="90">
      <c r="A90" s="8" t="n"/>
      <c r="B90" s="12" t="n"/>
      <c r="C90" s="12" t="n"/>
      <c r="D90" s="12" t="n"/>
      <c r="E90" s="14" t="n"/>
      <c r="F90" s="12" t="n"/>
      <c r="G90" s="12" t="n"/>
    </row>
    <row r="91">
      <c r="A91" s="8" t="n"/>
      <c r="B91" s="12" t="n"/>
      <c r="C91" s="12" t="n"/>
      <c r="D91" s="12" t="n"/>
      <c r="E91" s="14" t="n"/>
      <c r="F91" s="12" t="n"/>
      <c r="G91" s="12" t="n"/>
    </row>
    <row r="92">
      <c r="A92" s="8" t="n"/>
      <c r="B92" s="12" t="n"/>
      <c r="C92" s="12" t="n"/>
      <c r="D92" s="12" t="n"/>
      <c r="E92" s="14" t="n"/>
      <c r="F92" s="12" t="n"/>
      <c r="G92" s="12" t="n"/>
    </row>
    <row r="93">
      <c r="A93" s="8" t="n"/>
      <c r="B93" s="12" t="n"/>
      <c r="C93" s="12" t="n"/>
      <c r="D93" s="12" t="n"/>
      <c r="E93" s="14" t="n"/>
      <c r="F93" s="12" t="n"/>
      <c r="G93" s="12" t="n"/>
    </row>
    <row r="94">
      <c r="A94" s="8" t="n"/>
      <c r="B94" s="12" t="n"/>
      <c r="C94" s="12" t="n"/>
      <c r="D94" s="12" t="n"/>
      <c r="E94" s="14" t="n"/>
      <c r="F94" s="12" t="n"/>
      <c r="G94" s="12" t="n"/>
    </row>
    <row r="95">
      <c r="A95" s="8" t="n"/>
      <c r="B95" s="12" t="n"/>
      <c r="C95" s="12" t="n"/>
      <c r="D95" s="12" t="n"/>
      <c r="E95" s="14" t="n"/>
      <c r="F95" s="12" t="n"/>
      <c r="G95" s="12" t="n"/>
    </row>
    <row r="96">
      <c r="A96" s="8" t="n"/>
      <c r="B96" s="12" t="n"/>
      <c r="C96" s="12" t="n"/>
      <c r="D96" s="12" t="n"/>
      <c r="E96" s="14" t="n"/>
      <c r="F96" s="12" t="n"/>
      <c r="G96" s="12" t="n"/>
    </row>
    <row r="97">
      <c r="A97" s="8" t="n"/>
      <c r="B97" s="12" t="n"/>
      <c r="C97" s="12" t="n"/>
      <c r="D97" s="12" t="n"/>
      <c r="E97" s="14" t="n"/>
      <c r="F97" s="12" t="n"/>
      <c r="G97" s="12" t="n"/>
    </row>
    <row r="98">
      <c r="A98" s="8" t="n"/>
      <c r="B98" s="12" t="n"/>
      <c r="C98" s="12" t="n"/>
      <c r="D98" s="12" t="n"/>
      <c r="E98" s="14" t="n"/>
      <c r="F98" s="12" t="n"/>
      <c r="G98" s="12" t="n"/>
    </row>
    <row r="99">
      <c r="A99" s="8" t="n"/>
      <c r="B99" s="12" t="n"/>
      <c r="C99" s="12" t="n"/>
      <c r="D99" s="12" t="n"/>
      <c r="E99" s="14" t="n"/>
      <c r="F99" s="12" t="n"/>
      <c r="G99" s="12" t="n"/>
    </row>
    <row r="100">
      <c r="A100" s="8" t="n"/>
      <c r="B100" s="12" t="n"/>
      <c r="C100" s="12" t="n"/>
      <c r="D100" s="12" t="n"/>
      <c r="E100" s="14" t="n"/>
      <c r="F100" s="12" t="n"/>
      <c r="G100" s="12" t="n"/>
    </row>
    <row r="101">
      <c r="A101" s="8" t="n"/>
      <c r="B101" s="12" t="n"/>
      <c r="C101" s="12" t="n"/>
      <c r="D101" s="12" t="n"/>
      <c r="E101" s="14" t="n"/>
      <c r="F101" s="12" t="n"/>
      <c r="G101" s="12" t="n"/>
    </row>
    <row r="102">
      <c r="A102" s="8" t="n"/>
      <c r="B102" s="12" t="n"/>
      <c r="C102" s="12" t="n"/>
      <c r="D102" s="12" t="n"/>
      <c r="E102" s="14" t="n"/>
      <c r="F102" s="12" t="n"/>
      <c r="G102" s="12" t="n"/>
    </row>
    <row r="103">
      <c r="A103" s="8" t="n"/>
      <c r="B103" s="12" t="n"/>
      <c r="C103" s="12" t="n"/>
      <c r="D103" s="12" t="n"/>
      <c r="E103" s="14" t="n"/>
      <c r="F103" s="12" t="n"/>
      <c r="G103" s="12" t="n"/>
    </row>
    <row r="104">
      <c r="A104" s="8" t="n"/>
      <c r="B104" s="12" t="n"/>
      <c r="C104" s="12" t="n"/>
      <c r="D104" s="12" t="n"/>
      <c r="E104" s="14" t="n"/>
      <c r="F104" s="12" t="n"/>
      <c r="G104" s="12" t="n"/>
    </row>
    <row r="105">
      <c r="A105" s="8" t="n"/>
      <c r="B105" s="12" t="n"/>
      <c r="C105" s="12" t="n"/>
      <c r="D105" s="12" t="n"/>
      <c r="E105" s="14" t="n"/>
      <c r="F105" s="12" t="n"/>
      <c r="G105" s="12" t="n"/>
    </row>
    <row r="106">
      <c r="A106" s="8" t="n"/>
      <c r="B106" s="12" t="n"/>
      <c r="C106" s="12" t="n"/>
      <c r="D106" s="12" t="n"/>
      <c r="E106" s="14" t="n"/>
      <c r="F106" s="12" t="n"/>
      <c r="G106" s="12" t="n"/>
    </row>
    <row r="107">
      <c r="A107" s="8" t="n"/>
      <c r="B107" s="12" t="n"/>
      <c r="C107" s="12" t="n"/>
      <c r="D107" s="12" t="n"/>
      <c r="E107" s="14" t="n"/>
      <c r="F107" s="12" t="n"/>
      <c r="G107" s="12" t="n"/>
    </row>
    <row r="108">
      <c r="A108" s="8" t="n"/>
      <c r="B108" s="12" t="n"/>
      <c r="C108" s="12" t="n"/>
      <c r="D108" s="12" t="n"/>
      <c r="E108" s="14" t="n"/>
      <c r="F108" s="12" t="n"/>
      <c r="G108" s="12" t="n"/>
    </row>
    <row r="109">
      <c r="A109" s="8" t="n"/>
      <c r="B109" s="12" t="n"/>
      <c r="C109" s="12" t="n"/>
      <c r="D109" s="12" t="n"/>
      <c r="E109" s="14" t="n"/>
      <c r="F109" s="12" t="n"/>
      <c r="G109" s="12" t="n"/>
    </row>
    <row r="110">
      <c r="A110" s="8" t="n"/>
      <c r="B110" s="12" t="n"/>
      <c r="C110" s="12" t="n"/>
      <c r="D110" s="12" t="n"/>
      <c r="E110" s="14" t="n"/>
      <c r="F110" s="12" t="n"/>
      <c r="G110" s="12" t="n"/>
    </row>
    <row r="111">
      <c r="A111" s="8" t="n"/>
      <c r="B111" s="12" t="n"/>
      <c r="C111" s="12" t="n"/>
      <c r="D111" s="12" t="n"/>
      <c r="E111" s="14" t="n"/>
      <c r="F111" s="12" t="n"/>
      <c r="G111" s="12" t="n"/>
    </row>
    <row r="112">
      <c r="A112" s="8" t="n"/>
      <c r="B112" s="12" t="n"/>
      <c r="C112" s="12" t="n"/>
      <c r="D112" s="12" t="n"/>
      <c r="E112" s="14" t="n"/>
      <c r="F112" s="12" t="n"/>
      <c r="G112" s="12" t="n"/>
    </row>
    <row r="113">
      <c r="A113" s="8" t="n"/>
      <c r="B113" s="12" t="n"/>
      <c r="C113" s="12" t="n"/>
      <c r="D113" s="12" t="n"/>
      <c r="E113" s="14" t="n"/>
      <c r="F113" s="12" t="n"/>
      <c r="G113" s="12" t="n"/>
    </row>
    <row r="114">
      <c r="A114" s="8" t="n"/>
      <c r="B114" s="12" t="n"/>
      <c r="C114" s="12" t="n"/>
      <c r="D114" s="12" t="n"/>
      <c r="E114" s="14" t="n"/>
      <c r="F114" s="12" t="n"/>
      <c r="G114" s="12" t="n"/>
    </row>
    <row r="115">
      <c r="A115" s="8" t="n"/>
      <c r="B115" s="12" t="n"/>
      <c r="C115" s="12" t="n"/>
      <c r="D115" s="12" t="n"/>
      <c r="E115" s="14" t="n"/>
      <c r="F115" s="12" t="n"/>
      <c r="G115" s="12" t="n"/>
    </row>
    <row r="116">
      <c r="A116" s="8" t="n"/>
      <c r="B116" s="12" t="n"/>
      <c r="C116" s="12" t="n"/>
      <c r="D116" s="12" t="n"/>
      <c r="E116" s="14" t="n"/>
      <c r="F116" s="12" t="n"/>
      <c r="G116" s="12" t="n"/>
    </row>
    <row r="117">
      <c r="A117" s="8" t="n"/>
      <c r="B117" s="12" t="n"/>
      <c r="C117" s="12" t="n"/>
      <c r="D117" s="12" t="n"/>
      <c r="E117" s="14" t="n"/>
      <c r="F117" s="12" t="n"/>
      <c r="G117" s="12" t="n"/>
    </row>
    <row r="118">
      <c r="A118" s="8" t="n"/>
      <c r="B118" s="12" t="n"/>
      <c r="C118" s="12" t="n"/>
      <c r="D118" s="12" t="n"/>
      <c r="E118" s="14" t="n"/>
      <c r="F118" s="12" t="n"/>
      <c r="G118" s="12" t="n"/>
    </row>
    <row r="119">
      <c r="A119" s="8" t="n"/>
      <c r="B119" s="12" t="n"/>
      <c r="C119" s="12" t="n"/>
      <c r="D119" s="12" t="n"/>
      <c r="E119" s="14" t="n"/>
      <c r="F119" s="12" t="n"/>
      <c r="G119" s="12" t="n"/>
    </row>
    <row r="120">
      <c r="A120" s="8" t="n"/>
      <c r="B120" s="12" t="n"/>
      <c r="C120" s="12" t="n"/>
      <c r="D120" s="12" t="n"/>
      <c r="E120" s="14" t="n"/>
      <c r="F120" s="12" t="n"/>
      <c r="G120" s="12" t="n"/>
    </row>
    <row r="121">
      <c r="A121" s="8" t="n"/>
      <c r="B121" s="12" t="n"/>
      <c r="C121" s="12" t="n"/>
      <c r="D121" s="12" t="n"/>
      <c r="E121" s="14" t="n"/>
      <c r="F121" s="12" t="n"/>
      <c r="G121" s="12" t="n"/>
    </row>
    <row r="122">
      <c r="A122" s="8" t="n"/>
      <c r="B122" s="12" t="n"/>
      <c r="C122" s="12" t="n"/>
      <c r="D122" s="12" t="n"/>
      <c r="E122" s="14" t="n"/>
      <c r="F122" s="12" t="n"/>
      <c r="G122" s="12" t="n"/>
    </row>
    <row r="123">
      <c r="A123" s="8" t="n"/>
      <c r="B123" s="12" t="n"/>
      <c r="C123" s="12" t="n"/>
      <c r="D123" s="12" t="n"/>
      <c r="E123" s="14" t="n"/>
      <c r="F123" s="12" t="n"/>
      <c r="G123" s="12" t="n"/>
    </row>
    <row r="124">
      <c r="A124" s="8" t="n"/>
      <c r="B124" s="12" t="n"/>
      <c r="C124" s="12" t="n"/>
      <c r="D124" s="12" t="n"/>
      <c r="E124" s="14" t="n"/>
      <c r="F124" s="12" t="n"/>
      <c r="G124" s="12" t="n"/>
    </row>
    <row r="125">
      <c r="A125" s="8" t="n"/>
      <c r="B125" s="12" t="n"/>
      <c r="C125" s="12" t="n"/>
      <c r="D125" s="12" t="n"/>
      <c r="E125" s="14" t="n"/>
      <c r="F125" s="12" t="n"/>
      <c r="G125" s="12" t="n"/>
    </row>
    <row r="126">
      <c r="A126" s="8" t="n"/>
      <c r="B126" s="12" t="n"/>
      <c r="C126" s="12" t="n"/>
      <c r="D126" s="12" t="n"/>
      <c r="E126" s="14" t="n"/>
      <c r="F126" s="12" t="n"/>
      <c r="G126" s="12" t="n"/>
    </row>
    <row r="127">
      <c r="A127" s="8" t="n"/>
      <c r="B127" s="12" t="n"/>
      <c r="C127" s="12" t="n"/>
      <c r="D127" s="12" t="n"/>
      <c r="E127" s="14" t="n"/>
      <c r="F127" s="12" t="n"/>
      <c r="G127" s="12" t="n"/>
    </row>
    <row r="128">
      <c r="A128" s="8" t="n"/>
      <c r="B128" s="12" t="n"/>
      <c r="C128" s="12" t="n"/>
      <c r="D128" s="12" t="n"/>
      <c r="E128" s="14" t="n"/>
      <c r="F128" s="12" t="n"/>
      <c r="G128" s="12" t="n"/>
    </row>
    <row r="129">
      <c r="A129" s="8" t="n"/>
      <c r="B129" s="12" t="n"/>
      <c r="C129" s="12" t="n"/>
      <c r="D129" s="12" t="n"/>
      <c r="E129" s="14" t="n"/>
      <c r="F129" s="12" t="n"/>
      <c r="G129" s="12" t="n"/>
    </row>
    <row r="130">
      <c r="A130" s="8" t="n"/>
      <c r="B130" s="12" t="n"/>
      <c r="C130" s="12" t="n"/>
      <c r="D130" s="12" t="n"/>
      <c r="E130" s="14" t="n"/>
      <c r="F130" s="12" t="n"/>
      <c r="G130" s="12" t="n"/>
    </row>
    <row r="131">
      <c r="A131" s="8" t="n"/>
      <c r="B131" s="12" t="n"/>
      <c r="C131" s="12" t="n"/>
      <c r="D131" s="12" t="n"/>
      <c r="E131" s="14" t="n"/>
      <c r="F131" s="12" t="n"/>
      <c r="G131" s="12" t="n"/>
    </row>
    <row r="132">
      <c r="A132" s="8" t="n"/>
      <c r="B132" s="12" t="n"/>
      <c r="C132" s="12" t="n"/>
      <c r="D132" s="12" t="n"/>
      <c r="E132" s="14" t="n"/>
      <c r="F132" s="12" t="n"/>
      <c r="G132" s="12" t="n"/>
    </row>
    <row r="133">
      <c r="A133" s="8" t="n"/>
      <c r="B133" s="12" t="n"/>
      <c r="C133" s="12" t="n"/>
      <c r="D133" s="12" t="n"/>
      <c r="E133" s="14" t="n"/>
      <c r="F133" s="12" t="n"/>
      <c r="G133" s="12" t="n"/>
    </row>
    <row r="134">
      <c r="A134" s="8" t="n"/>
      <c r="B134" s="12" t="n"/>
      <c r="C134" s="12" t="n"/>
      <c r="D134" s="12" t="n"/>
      <c r="E134" s="14" t="n"/>
      <c r="F134" s="12" t="n"/>
      <c r="G134" s="12" t="n"/>
    </row>
    <row r="135">
      <c r="A135" s="8" t="n"/>
      <c r="B135" s="12" t="n"/>
      <c r="C135" s="12" t="n"/>
      <c r="D135" s="12" t="n"/>
      <c r="E135" s="14" t="n"/>
      <c r="F135" s="12" t="n"/>
      <c r="G135" s="12" t="n"/>
    </row>
    <row r="136">
      <c r="A136" s="8" t="n"/>
      <c r="B136" s="12" t="n"/>
      <c r="C136" s="12" t="n"/>
      <c r="D136" s="12" t="n"/>
      <c r="E136" s="14" t="n"/>
      <c r="F136" s="12" t="n"/>
      <c r="G136" s="12" t="n"/>
    </row>
    <row r="137">
      <c r="A137" s="8" t="n"/>
      <c r="B137" s="12" t="n"/>
      <c r="C137" s="12" t="n"/>
      <c r="D137" s="12" t="n"/>
      <c r="E137" s="14" t="n"/>
      <c r="F137" s="12" t="n"/>
      <c r="G137" s="12" t="n"/>
    </row>
    <row r="138">
      <c r="A138" s="8" t="n"/>
      <c r="B138" s="12" t="n"/>
      <c r="C138" s="12" t="n"/>
      <c r="D138" s="12" t="n"/>
      <c r="E138" s="14" t="n"/>
      <c r="F138" s="12" t="n"/>
      <c r="G138" s="12" t="n"/>
    </row>
    <row r="139">
      <c r="A139" s="8" t="n"/>
      <c r="B139" s="12" t="n"/>
      <c r="C139" s="12" t="n"/>
      <c r="D139" s="12" t="n"/>
      <c r="E139" s="14" t="n"/>
      <c r="F139" s="12" t="n"/>
      <c r="G139" s="12" t="n"/>
    </row>
    <row r="140">
      <c r="A140" s="8" t="n"/>
      <c r="B140" s="12" t="n"/>
      <c r="C140" s="12" t="n"/>
      <c r="D140" s="12" t="n"/>
      <c r="E140" s="14" t="n"/>
      <c r="F140" s="12" t="n"/>
      <c r="G140" s="12" t="n"/>
    </row>
    <row r="141">
      <c r="A141" s="8" t="n"/>
      <c r="B141" s="12" t="n"/>
      <c r="C141" s="12" t="n"/>
      <c r="D141" s="12" t="n"/>
      <c r="E141" s="14" t="n"/>
      <c r="F141" s="12" t="n"/>
      <c r="G141" s="12" t="n"/>
    </row>
    <row r="142">
      <c r="A142" s="8" t="n"/>
      <c r="B142" s="12" t="n"/>
      <c r="C142" s="12" t="n"/>
      <c r="D142" s="12" t="n"/>
      <c r="E142" s="14" t="n"/>
      <c r="F142" s="12" t="n"/>
      <c r="G142" s="12" t="n"/>
    </row>
    <row r="143">
      <c r="A143" s="8" t="n"/>
      <c r="B143" s="12" t="n"/>
      <c r="C143" s="12" t="n"/>
      <c r="D143" s="12" t="n"/>
      <c r="E143" s="14" t="n"/>
      <c r="F143" s="12" t="n"/>
      <c r="G143" s="12" t="n"/>
    </row>
    <row r="144">
      <c r="A144" s="8" t="n"/>
      <c r="B144" s="12" t="n"/>
      <c r="C144" s="12" t="n"/>
      <c r="D144" s="12" t="n"/>
      <c r="E144" s="14" t="n"/>
      <c r="F144" s="12" t="n"/>
      <c r="G144" s="12" t="n"/>
    </row>
    <row r="145">
      <c r="A145" s="8" t="n"/>
      <c r="B145" s="12" t="n"/>
      <c r="C145" s="12" t="n"/>
      <c r="D145" s="12" t="n"/>
      <c r="E145" s="14" t="n"/>
      <c r="F145" s="12" t="n"/>
      <c r="G145" s="12" t="n"/>
    </row>
    <row r="146">
      <c r="A146" s="8" t="n"/>
      <c r="B146" s="12" t="n"/>
      <c r="C146" s="12" t="n"/>
      <c r="D146" s="12" t="n"/>
      <c r="E146" s="14" t="n"/>
      <c r="F146" s="12" t="n"/>
      <c r="G146" s="12" t="n"/>
    </row>
    <row r="147">
      <c r="A147" s="8" t="n"/>
      <c r="B147" s="12" t="n"/>
      <c r="C147" s="12" t="n"/>
      <c r="D147" s="12" t="n"/>
      <c r="E147" s="14" t="n"/>
      <c r="F147" s="12" t="n"/>
      <c r="G147" s="12" t="n"/>
    </row>
  </sheetData>
  <mergeCells count="20">
    <mergeCell ref="B7:F7"/>
    <mergeCell ref="E19:G19"/>
    <mergeCell ref="A4:G4"/>
    <mergeCell ref="A29:G29"/>
    <mergeCell ref="E26:G26"/>
    <mergeCell ref="B8:F8"/>
    <mergeCell ref="A1:G1"/>
    <mergeCell ref="B10:F10"/>
    <mergeCell ref="E18:G18"/>
    <mergeCell ref="E21:G21"/>
    <mergeCell ref="B9:F9"/>
    <mergeCell ref="A46:G46"/>
    <mergeCell ref="E24:G24"/>
    <mergeCell ref="B6:F6"/>
    <mergeCell ref="E14:G14"/>
    <mergeCell ref="E23:G23"/>
    <mergeCell ref="A12:G12"/>
    <mergeCell ref="B5:F5"/>
    <mergeCell ref="A2:G2"/>
    <mergeCell ref="E20:G20"/>
  </mergeCells>
  <dataValidations count="3">
    <dataValidation sqref="B5" showDropDown="0" showInputMessage="0" showErrorMessage="0" allowBlank="1" type="list">
      <formula1>"Planning,Quoting,Approved,In progress,Complete,On hold"</formula1>
    </dataValidation>
    <dataValidation sqref="B8" showDropDown="0" showInputMessage="0" showErrorMessage="0" allowBlank="1" type="list">
      <formula1>=$B$13:$D$13</formula1>
    </dataValidation>
    <dataValidation sqref="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showDropDown="0" showInputMessage="0" showErrorMessage="0" allowBlank="1" type="list">
      <formula1>=$A$31:$A$41</formula1>
    </dataValidation>
  </dataValidations>
  <pageMargins left="0.75" right="0.75" top="1" bottom="1" header="0.5" footer="0.5"/>
</worksheet>
</file>

<file path=xl/worksheets/sheet4.xml><?xml version="1.0" encoding="utf-8"?>
<worksheet xmlns="http://schemas.openxmlformats.org/spreadsheetml/2006/main">
  <sheetPr>
    <tabColor rgb="00A6A6A6"/>
    <outlinePr summaryBelow="1" summaryRight="1"/>
    <pageSetUpPr/>
  </sheetPr>
  <dimension ref="A1:G147"/>
  <sheetViews>
    <sheetView showGridLines="0" workbookViewId="0">
      <pane ySplit="2" topLeftCell="A3" activePane="bottomLeft" state="frozen"/>
      <selection pane="bottomLeft" activeCell="A1" sqref="A1"/>
    </sheetView>
  </sheetViews>
  <sheetFormatPr baseColWidth="8" defaultRowHeight="15"/>
  <cols>
    <col width="34" customWidth="1" min="1" max="1"/>
    <col width="17" customWidth="1" min="2" max="2"/>
    <col width="20" customWidth="1" min="3" max="3"/>
    <col width="17" customWidth="1" min="4" max="4"/>
    <col width="15" customWidth="1" min="5" max="5"/>
    <col width="15" customWidth="1" min="6" max="6"/>
    <col width="26" customWidth="1" min="7" max="7"/>
  </cols>
  <sheetData>
    <row r="1" ht="30" customHeight="1">
      <c r="A1" s="1" t="inlineStr">
        <is>
          <t>PROJECT TEMPLATE — (duplicate this tab for each new project)</t>
        </is>
      </c>
    </row>
    <row r="2" ht="16" customHeight="1">
      <c r="A2" s="2" t="inlineStr">
        <is>
          <t>How to use: right-click the tab &gt; Duplicate. Rename it, fill in options &amp; quotes, then add one row for it in the Basis Tracker improvements table pointing at the new tab's Actual total (cell C43).</t>
        </is>
      </c>
    </row>
    <row r="4" ht="20" customHeight="1">
      <c r="A4" s="5" t="inlineStr">
        <is>
          <t>PROJECT INFO</t>
        </is>
      </c>
    </row>
    <row r="5">
      <c r="A5" s="6" t="inlineStr">
        <is>
          <t>Status</t>
        </is>
      </c>
      <c r="B5" s="20" t="inlineStr">
        <is>
          <t>Planning</t>
        </is>
      </c>
    </row>
    <row r="6">
      <c r="A6" s="6" t="inlineStr">
        <is>
          <t>Contractor / quote</t>
        </is>
      </c>
      <c r="B6" s="20" t="inlineStr"/>
    </row>
    <row r="7">
      <c r="A7" s="6" t="inlineStr">
        <is>
          <t>Materials source</t>
        </is>
      </c>
      <c r="B7" s="20" t="inlineStr"/>
    </row>
    <row r="8">
      <c r="A8" s="6" t="inlineStr">
        <is>
          <t>Selected option</t>
        </is>
      </c>
      <c r="B8" s="21" t="n"/>
    </row>
    <row r="9">
      <c r="A9" s="6" t="inlineStr">
        <is>
          <t>Contingency %</t>
        </is>
      </c>
      <c r="B9" s="22" t="n">
        <v>0.1</v>
      </c>
    </row>
    <row r="10" ht="28" customHeight="1">
      <c r="A10" s="6" t="inlineStr">
        <is>
          <t>Notes</t>
        </is>
      </c>
      <c r="B10" s="23" t="inlineStr"/>
    </row>
    <row r="12" ht="20" customHeight="1">
      <c r="A12" s="5" t="inlineStr">
        <is>
          <t>STEP 1 — COMPARE OPTIONS  (estimated all-in cost per option)</t>
        </is>
      </c>
    </row>
    <row r="13">
      <c r="A13" s="9" t="inlineStr">
        <is>
          <t>Cost component</t>
        </is>
      </c>
      <c r="B13" s="24" t="inlineStr">
        <is>
          <t>Option A</t>
        </is>
      </c>
      <c r="C13" s="24" t="inlineStr">
        <is>
          <t>Option B</t>
        </is>
      </c>
      <c r="D13" s="24" t="inlineStr">
        <is>
          <t>Option C</t>
        </is>
      </c>
      <c r="E13" s="9" t="inlineStr">
        <is>
          <t>Notes</t>
        </is>
      </c>
    </row>
    <row r="14">
      <c r="A14" s="25" t="inlineStr">
        <is>
          <t>Item # / SKU</t>
        </is>
      </c>
      <c r="B14" s="26" t="n"/>
      <c r="C14" s="26" t="n"/>
      <c r="D14" s="26" t="n"/>
      <c r="E14" s="12" t="n"/>
    </row>
    <row r="15">
      <c r="A15" s="25" t="inlineStr">
        <is>
          <t>Unit price</t>
        </is>
      </c>
      <c r="B15" s="28" t="n"/>
      <c r="C15" s="28" t="n"/>
      <c r="D15" s="28" t="n"/>
      <c r="E15" s="12" t="n"/>
    </row>
    <row r="16">
      <c r="A16" s="25" t="inlineStr">
        <is>
          <t>Quantity</t>
        </is>
      </c>
      <c r="B16" s="29" t="n"/>
      <c r="C16" s="29" t="n"/>
      <c r="D16" s="29" t="n"/>
      <c r="E16" s="12" t="n"/>
    </row>
    <row r="17">
      <c r="A17" s="25" t="inlineStr">
        <is>
          <t>Flooring material</t>
        </is>
      </c>
      <c r="B17" s="28">
        <f>B15*B16</f>
        <v/>
      </c>
      <c r="C17" s="28">
        <f>C15*C16</f>
        <v/>
      </c>
      <c r="D17" s="28">
        <f>D15*D16</f>
        <v/>
      </c>
      <c r="E17" s="12" t="n"/>
    </row>
    <row r="18">
      <c r="A18" s="25" t="inlineStr">
        <is>
          <t>Underlayment &amp; supplies</t>
        </is>
      </c>
      <c r="B18" s="28" t="inlineStr"/>
      <c r="C18" s="28" t="inlineStr"/>
      <c r="D18" s="28" t="inlineStr"/>
      <c r="E18" s="12" t="n"/>
    </row>
    <row r="19">
      <c r="A19" s="25" t="inlineStr">
        <is>
          <t>Stair nose trim</t>
        </is>
      </c>
      <c r="B19" s="28" t="inlineStr"/>
      <c r="C19" s="28" t="inlineStr"/>
      <c r="D19" s="28" t="inlineStr"/>
      <c r="E19" s="27" t="inlineStr">
        <is>
          <t>Rename these two rows for whatever extra materials the project needs.</t>
        </is>
      </c>
      <c r="F19" s="10" t="n"/>
      <c r="G19" s="11" t="n"/>
    </row>
    <row r="20">
      <c r="A20" s="25" t="inlineStr">
        <is>
          <t>Stair risers</t>
        </is>
      </c>
      <c r="B20" s="28" t="inlineStr"/>
      <c r="C20" s="28" t="inlineStr"/>
      <c r="D20" s="28" t="inlineStr"/>
      <c r="E20" s="12" t="n"/>
    </row>
    <row r="21">
      <c r="A21" s="25" t="inlineStr">
        <is>
          <t>Contractor discount on materials (0%)</t>
        </is>
      </c>
      <c r="B21" s="28">
        <f>-0.0*SUM(B17:B20)</f>
        <v/>
      </c>
      <c r="C21" s="28">
        <f>-0.0*SUM(C17:C20)</f>
        <v/>
      </c>
      <c r="D21" s="28">
        <f>-0.0*SUM(D17:D20)</f>
        <v/>
      </c>
      <c r="E21" s="12" t="n"/>
    </row>
    <row r="22">
      <c r="A22" s="25" t="inlineStr">
        <is>
          <t>Est. sales tax (6.25% MA, materials)</t>
        </is>
      </c>
      <c r="B22" s="28">
        <f>SUM(B17:B21)*0.0625</f>
        <v/>
      </c>
      <c r="C22" s="28">
        <f>SUM(C17:C21)*0.0625</f>
        <v/>
      </c>
      <c r="D22" s="28">
        <f>SUM(D17:D21)*0.0625</f>
        <v/>
      </c>
      <c r="E22" s="12" t="n"/>
    </row>
    <row r="23">
      <c r="A23" s="25" t="inlineStr">
        <is>
          <t>Labor — demo &amp; disposal</t>
        </is>
      </c>
      <c r="B23" s="28" t="inlineStr"/>
      <c r="C23" s="28" t="inlineStr"/>
      <c r="D23" s="28" t="inlineStr"/>
      <c r="E23" s="12" t="n"/>
    </row>
    <row r="24">
      <c r="A24" s="25" t="inlineStr">
        <is>
          <t>Labor — install</t>
        </is>
      </c>
      <c r="B24" s="28" t="inlineStr"/>
      <c r="C24" s="28" t="inlineStr"/>
      <c r="D24" s="28" t="inlineStr"/>
      <c r="E24" s="12" t="n"/>
    </row>
    <row r="25">
      <c r="A25" s="25" t="inlineStr">
        <is>
          <t>Labor — stairs (treads &amp; risers)</t>
        </is>
      </c>
      <c r="B25" s="28" t="inlineStr"/>
      <c r="C25" s="28" t="inlineStr"/>
      <c r="D25" s="28" t="inlineStr"/>
      <c r="E25" s="12" t="n"/>
    </row>
    <row r="26">
      <c r="A26" s="30" t="inlineStr">
        <is>
          <t>TOTAL ESTIMATED</t>
        </is>
      </c>
      <c r="B26" s="31">
        <f>SUM(B17:B25)</f>
        <v/>
      </c>
      <c r="C26" s="31">
        <f>SUM(C17:C25)</f>
        <v/>
      </c>
      <c r="D26" s="31">
        <f>SUM(D17:D25)</f>
        <v/>
      </c>
      <c r="E26" s="27" t="inlineStr">
        <is>
          <t>Compare options here, pick one in 'Selected option' above, and the budget below fills itself in.</t>
        </is>
      </c>
      <c r="F26" s="10" t="n"/>
      <c r="G26" s="11" t="n"/>
    </row>
    <row r="27">
      <c r="A27" s="32" t="inlineStr">
        <is>
          <t>Premium vs. cheapest option</t>
        </is>
      </c>
      <c r="B27" s="33">
        <f>B26-MIN($B$26:$D$26)</f>
        <v/>
      </c>
      <c r="C27" s="33">
        <f>C26-MIN($B$26:$D$26)</f>
        <v/>
      </c>
      <c r="D27" s="33">
        <f>D26-MIN($B$26:$D$26)</f>
        <v/>
      </c>
      <c r="E27" s="12" t="n"/>
    </row>
    <row r="29" ht="20" customHeight="1">
      <c r="A29" s="5" t="inlineStr">
        <is>
          <t>STEP 2 — BUDGET vs. ACTUAL  (budget auto-fills from the selected option)</t>
        </is>
      </c>
    </row>
    <row r="30">
      <c r="A30" s="9" t="inlineStr">
        <is>
          <t>Category</t>
        </is>
      </c>
      <c r="B30" s="9" t="inlineStr">
        <is>
          <t>Budget</t>
        </is>
      </c>
      <c r="C30" s="9" t="inlineStr">
        <is>
          <t>Actual (from cost log)</t>
        </is>
      </c>
      <c r="D30" s="9" t="inlineStr">
        <is>
          <t>Remaining</t>
        </is>
      </c>
    </row>
    <row r="31">
      <c r="A31" s="12" t="inlineStr">
        <is>
          <t>Flooring materials</t>
        </is>
      </c>
      <c r="B31" s="14">
        <f>IF($B$8="","",HLOOKUP($B$8,$B$13:$D$26,5,FALSE))</f>
        <v/>
      </c>
      <c r="C31" s="14">
        <f>SUMIF($D$48:$D$147,$A31,$E$48:$E$147)</f>
        <v/>
      </c>
      <c r="D31" s="14">
        <f>IF(B31="","",B31-C31)</f>
        <v/>
      </c>
    </row>
    <row r="32">
      <c r="A32" s="12" t="inlineStr">
        <is>
          <t>Underlayment &amp; supplies</t>
        </is>
      </c>
      <c r="B32" s="14">
        <f>IF($B$8="","",HLOOKUP($B$8,$B$13:$D$26,6,FALSE))</f>
        <v/>
      </c>
      <c r="C32" s="14">
        <f>SUMIF($D$48:$D$147,$A32,$E$48:$E$147)</f>
        <v/>
      </c>
      <c r="D32" s="14">
        <f>IF(B32="","",B32-C32)</f>
        <v/>
      </c>
    </row>
    <row r="33">
      <c r="A33" s="12" t="inlineStr">
        <is>
          <t>Stair nose trim</t>
        </is>
      </c>
      <c r="B33" s="14">
        <f>IF($B$8="","",HLOOKUP($B$8,$B$13:$D$26,7,FALSE))</f>
        <v/>
      </c>
      <c r="C33" s="14">
        <f>SUMIF($D$48:$D$147,$A33,$E$48:$E$147)</f>
        <v/>
      </c>
      <c r="D33" s="14">
        <f>IF(B33="","",B33-C33)</f>
        <v/>
      </c>
    </row>
    <row r="34">
      <c r="A34" s="12" t="inlineStr">
        <is>
          <t>Stair risers</t>
        </is>
      </c>
      <c r="B34" s="14">
        <f>IF($B$8="","",HLOOKUP($B$8,$B$13:$D$26,8,FALSE))</f>
        <v/>
      </c>
      <c r="C34" s="14">
        <f>SUMIF($D$48:$D$147,$A34,$E$48:$E$147)</f>
        <v/>
      </c>
      <c r="D34" s="14">
        <f>IF(B34="","",B34-C34)</f>
        <v/>
      </c>
    </row>
    <row r="35">
      <c r="A35" s="12" t="inlineStr">
        <is>
          <t>Contractor discount</t>
        </is>
      </c>
      <c r="B35" s="14">
        <f>IF($B$8="","",HLOOKUP($B$8,$B$13:$D$26,9,FALSE))</f>
        <v/>
      </c>
      <c r="C35" s="14">
        <f>SUMIF($D$48:$D$147,$A35,$E$48:$E$147)</f>
        <v/>
      </c>
      <c r="D35" s="14">
        <f>IF(B35="","",B35-C35)</f>
        <v/>
      </c>
    </row>
    <row r="36">
      <c r="A36" s="12" t="inlineStr">
        <is>
          <t>Sales tax</t>
        </is>
      </c>
      <c r="B36" s="14">
        <f>IF($B$8="","",HLOOKUP($B$8,$B$13:$D$26,10,FALSE))</f>
        <v/>
      </c>
      <c r="C36" s="14">
        <f>SUMIF($D$48:$D$147,$A36,$E$48:$E$147)</f>
        <v/>
      </c>
      <c r="D36" s="14">
        <f>IF(B36="","",B36-C36)</f>
        <v/>
      </c>
    </row>
    <row r="37">
      <c r="A37" s="12" t="inlineStr">
        <is>
          <t>Labor — demo &amp; disposal</t>
        </is>
      </c>
      <c r="B37" s="14">
        <f>IF($B$8="","",HLOOKUP($B$8,$B$13:$D$26,11,FALSE))</f>
        <v/>
      </c>
      <c r="C37" s="14">
        <f>SUMIF($D$48:$D$147,$A37,$E$48:$E$147)</f>
        <v/>
      </c>
      <c r="D37" s="14">
        <f>IF(B37="","",B37-C37)</f>
        <v/>
      </c>
    </row>
    <row r="38">
      <c r="A38" s="12" t="inlineStr">
        <is>
          <t>Labor — install</t>
        </is>
      </c>
      <c r="B38" s="14">
        <f>IF($B$8="","",HLOOKUP($B$8,$B$13:$D$26,12,FALSE))</f>
        <v/>
      </c>
      <c r="C38" s="14">
        <f>SUMIF($D$48:$D$147,$A38,$E$48:$E$147)</f>
        <v/>
      </c>
      <c r="D38" s="14">
        <f>IF(B38="","",B38-C38)</f>
        <v/>
      </c>
    </row>
    <row r="39">
      <c r="A39" s="12" t="inlineStr">
        <is>
          <t>Labor — stairs</t>
        </is>
      </c>
      <c r="B39" s="14">
        <f>IF($B$8="","",HLOOKUP($B$8,$B$13:$D$26,13,FALSE))</f>
        <v/>
      </c>
      <c r="C39" s="14">
        <f>SUMIF($D$48:$D$147,$A39,$E$48:$E$147)</f>
        <v/>
      </c>
      <c r="D39" s="14">
        <f>IF(B39="","",B39-C39)</f>
        <v/>
      </c>
    </row>
    <row r="40">
      <c r="A40" s="12" t="inlineStr">
        <is>
          <t>Permits &amp; fees</t>
        </is>
      </c>
      <c r="B40" s="14" t="n"/>
      <c r="C40" s="14">
        <f>SUMIF($D$48:$D$147,$A40,$E$48:$E$147)</f>
        <v/>
      </c>
      <c r="D40" s="14">
        <f>IF(B40="","",B40-C40)</f>
        <v/>
      </c>
    </row>
    <row r="41">
      <c r="A41" s="12" t="inlineStr">
        <is>
          <t>Other</t>
        </is>
      </c>
      <c r="B41" s="14" t="n"/>
      <c r="C41" s="14">
        <f>SUMIF($D$48:$D$147,$A41,$E$48:$E$147)</f>
        <v/>
      </c>
      <c r="D41" s="14">
        <f>IF(B41="","",B41-C41)</f>
        <v/>
      </c>
    </row>
    <row r="42">
      <c r="A42" s="12" t="inlineStr">
        <is>
          <t>Contingency</t>
        </is>
      </c>
      <c r="B42" s="14">
        <f>SUM(B31:B41)*$B$9</f>
        <v/>
      </c>
      <c r="C42" s="14" t="n"/>
      <c r="D42" s="14">
        <f>B42-C42</f>
        <v/>
      </c>
    </row>
    <row r="43">
      <c r="A43" s="30" t="inlineStr">
        <is>
          <t>TOTAL</t>
        </is>
      </c>
      <c r="B43" s="34">
        <f>SUM(B31:B42)</f>
        <v/>
      </c>
      <c r="C43" s="34">
        <f>SUM(C31:C42)</f>
        <v/>
      </c>
      <c r="D43" s="34">
        <f>B43-C43</f>
        <v/>
      </c>
    </row>
    <row r="44">
      <c r="A44" s="19" t="inlineStr">
        <is>
          <t>The Actual total (C43) is what feeds the Basis Tracker. Log receipts net of discount, or log the discount as a negative amount under 'Contractor discount'.</t>
        </is>
      </c>
    </row>
    <row r="46" ht="20" customHeight="1">
      <c r="A46" s="5" t="inlineStr">
        <is>
          <t>STEP 3 — COST LOG  (record every payment; Actuals above update automatically)</t>
        </is>
      </c>
    </row>
    <row r="47">
      <c r="A47" s="9" t="inlineStr">
        <is>
          <t>Date</t>
        </is>
      </c>
      <c r="B47" s="9" t="inlineStr">
        <is>
          <t>Vendor</t>
        </is>
      </c>
      <c r="C47" s="9" t="inlineStr">
        <is>
          <t>Description</t>
        </is>
      </c>
      <c r="D47" s="9" t="inlineStr">
        <is>
          <t>Category</t>
        </is>
      </c>
      <c r="E47" s="9" t="inlineStr">
        <is>
          <t>Amount</t>
        </is>
      </c>
      <c r="F47" s="9" t="inlineStr">
        <is>
          <t>Payment method</t>
        </is>
      </c>
      <c r="G47" s="9" t="inlineStr">
        <is>
          <t>Notes</t>
        </is>
      </c>
    </row>
    <row r="48">
      <c r="A48" s="8" t="n"/>
      <c r="B48" s="12" t="n"/>
      <c r="C48" s="12" t="n"/>
      <c r="D48" s="12" t="n"/>
      <c r="E48" s="14" t="n"/>
      <c r="F48" s="12" t="n"/>
      <c r="G48" s="12" t="n"/>
    </row>
    <row r="49">
      <c r="A49" s="8" t="n"/>
      <c r="B49" s="12" t="n"/>
      <c r="C49" s="12" t="n"/>
      <c r="D49" s="12" t="n"/>
      <c r="E49" s="14" t="n"/>
      <c r="F49" s="12" t="n"/>
      <c r="G49" s="12" t="n"/>
    </row>
    <row r="50">
      <c r="A50" s="8" t="n"/>
      <c r="B50" s="12" t="n"/>
      <c r="C50" s="12" t="n"/>
      <c r="D50" s="12" t="n"/>
      <c r="E50" s="14" t="n"/>
      <c r="F50" s="12" t="n"/>
      <c r="G50" s="12" t="n"/>
    </row>
    <row r="51">
      <c r="A51" s="8" t="n"/>
      <c r="B51" s="12" t="n"/>
      <c r="C51" s="12" t="n"/>
      <c r="D51" s="12" t="n"/>
      <c r="E51" s="14" t="n"/>
      <c r="F51" s="12" t="n"/>
      <c r="G51" s="12" t="n"/>
    </row>
    <row r="52">
      <c r="A52" s="8" t="n"/>
      <c r="B52" s="12" t="n"/>
      <c r="C52" s="12" t="n"/>
      <c r="D52" s="12" t="n"/>
      <c r="E52" s="14" t="n"/>
      <c r="F52" s="12" t="n"/>
      <c r="G52" s="12" t="n"/>
    </row>
    <row r="53">
      <c r="A53" s="8" t="n"/>
      <c r="B53" s="12" t="n"/>
      <c r="C53" s="12" t="n"/>
      <c r="D53" s="12" t="n"/>
      <c r="E53" s="14" t="n"/>
      <c r="F53" s="12" t="n"/>
      <c r="G53" s="12" t="n"/>
    </row>
    <row r="54">
      <c r="A54" s="8" t="n"/>
      <c r="B54" s="12" t="n"/>
      <c r="C54" s="12" t="n"/>
      <c r="D54" s="12" t="n"/>
      <c r="E54" s="14" t="n"/>
      <c r="F54" s="12" t="n"/>
      <c r="G54" s="12" t="n"/>
    </row>
    <row r="55">
      <c r="A55" s="8" t="n"/>
      <c r="B55" s="12" t="n"/>
      <c r="C55" s="12" t="n"/>
      <c r="D55" s="12" t="n"/>
      <c r="E55" s="14" t="n"/>
      <c r="F55" s="12" t="n"/>
      <c r="G55" s="12" t="n"/>
    </row>
    <row r="56">
      <c r="A56" s="8" t="n"/>
      <c r="B56" s="12" t="n"/>
      <c r="C56" s="12" t="n"/>
      <c r="D56" s="12" t="n"/>
      <c r="E56" s="14" t="n"/>
      <c r="F56" s="12" t="n"/>
      <c r="G56" s="12" t="n"/>
    </row>
    <row r="57">
      <c r="A57" s="8" t="n"/>
      <c r="B57" s="12" t="n"/>
      <c r="C57" s="12" t="n"/>
      <c r="D57" s="12" t="n"/>
      <c r="E57" s="14" t="n"/>
      <c r="F57" s="12" t="n"/>
      <c r="G57" s="12" t="n"/>
    </row>
    <row r="58">
      <c r="A58" s="8" t="n"/>
      <c r="B58" s="12" t="n"/>
      <c r="C58" s="12" t="n"/>
      <c r="D58" s="12" t="n"/>
      <c r="E58" s="14" t="n"/>
      <c r="F58" s="12" t="n"/>
      <c r="G58" s="12" t="n"/>
    </row>
    <row r="59">
      <c r="A59" s="8" t="n"/>
      <c r="B59" s="12" t="n"/>
      <c r="C59" s="12" t="n"/>
      <c r="D59" s="12" t="n"/>
      <c r="E59" s="14" t="n"/>
      <c r="F59" s="12" t="n"/>
      <c r="G59" s="12" t="n"/>
    </row>
    <row r="60">
      <c r="A60" s="8" t="n"/>
      <c r="B60" s="12" t="n"/>
      <c r="C60" s="12" t="n"/>
      <c r="D60" s="12" t="n"/>
      <c r="E60" s="14" t="n"/>
      <c r="F60" s="12" t="n"/>
      <c r="G60" s="12" t="n"/>
    </row>
    <row r="61">
      <c r="A61" s="8" t="n"/>
      <c r="B61" s="12" t="n"/>
      <c r="C61" s="12" t="n"/>
      <c r="D61" s="12" t="n"/>
      <c r="E61" s="14" t="n"/>
      <c r="F61" s="12" t="n"/>
      <c r="G61" s="12" t="n"/>
    </row>
    <row r="62">
      <c r="A62" s="8" t="n"/>
      <c r="B62" s="12" t="n"/>
      <c r="C62" s="12" t="n"/>
      <c r="D62" s="12" t="n"/>
      <c r="E62" s="14" t="n"/>
      <c r="F62" s="12" t="n"/>
      <c r="G62" s="12" t="n"/>
    </row>
    <row r="63">
      <c r="A63" s="8" t="n"/>
      <c r="B63" s="12" t="n"/>
      <c r="C63" s="12" t="n"/>
      <c r="D63" s="12" t="n"/>
      <c r="E63" s="14" t="n"/>
      <c r="F63" s="12" t="n"/>
      <c r="G63" s="12" t="n"/>
    </row>
    <row r="64">
      <c r="A64" s="8" t="n"/>
      <c r="B64" s="12" t="n"/>
      <c r="C64" s="12" t="n"/>
      <c r="D64" s="12" t="n"/>
      <c r="E64" s="14" t="n"/>
      <c r="F64" s="12" t="n"/>
      <c r="G64" s="12" t="n"/>
    </row>
    <row r="65">
      <c r="A65" s="8" t="n"/>
      <c r="B65" s="12" t="n"/>
      <c r="C65" s="12" t="n"/>
      <c r="D65" s="12" t="n"/>
      <c r="E65" s="14" t="n"/>
      <c r="F65" s="12" t="n"/>
      <c r="G65" s="12" t="n"/>
    </row>
    <row r="66">
      <c r="A66" s="8" t="n"/>
      <c r="B66" s="12" t="n"/>
      <c r="C66" s="12" t="n"/>
      <c r="D66" s="12" t="n"/>
      <c r="E66" s="14" t="n"/>
      <c r="F66" s="12" t="n"/>
      <c r="G66" s="12" t="n"/>
    </row>
    <row r="67">
      <c r="A67" s="8" t="n"/>
      <c r="B67" s="12" t="n"/>
      <c r="C67" s="12" t="n"/>
      <c r="D67" s="12" t="n"/>
      <c r="E67" s="14" t="n"/>
      <c r="F67" s="12" t="n"/>
      <c r="G67" s="12" t="n"/>
    </row>
    <row r="68">
      <c r="A68" s="8" t="n"/>
      <c r="B68" s="12" t="n"/>
      <c r="C68" s="12" t="n"/>
      <c r="D68" s="12" t="n"/>
      <c r="E68" s="14" t="n"/>
      <c r="F68" s="12" t="n"/>
      <c r="G68" s="12" t="n"/>
    </row>
    <row r="69">
      <c r="A69" s="8" t="n"/>
      <c r="B69" s="12" t="n"/>
      <c r="C69" s="12" t="n"/>
      <c r="D69" s="12" t="n"/>
      <c r="E69" s="14" t="n"/>
      <c r="F69" s="12" t="n"/>
      <c r="G69" s="12" t="n"/>
    </row>
    <row r="70">
      <c r="A70" s="8" t="n"/>
      <c r="B70" s="12" t="n"/>
      <c r="C70" s="12" t="n"/>
      <c r="D70" s="12" t="n"/>
      <c r="E70" s="14" t="n"/>
      <c r="F70" s="12" t="n"/>
      <c r="G70" s="12" t="n"/>
    </row>
    <row r="71">
      <c r="A71" s="8" t="n"/>
      <c r="B71" s="12" t="n"/>
      <c r="C71" s="12" t="n"/>
      <c r="D71" s="12" t="n"/>
      <c r="E71" s="14" t="n"/>
      <c r="F71" s="12" t="n"/>
      <c r="G71" s="12" t="n"/>
    </row>
    <row r="72">
      <c r="A72" s="8" t="n"/>
      <c r="B72" s="12" t="n"/>
      <c r="C72" s="12" t="n"/>
      <c r="D72" s="12" t="n"/>
      <c r="E72" s="14" t="n"/>
      <c r="F72" s="12" t="n"/>
      <c r="G72" s="12" t="n"/>
    </row>
    <row r="73">
      <c r="A73" s="8" t="n"/>
      <c r="B73" s="12" t="n"/>
      <c r="C73" s="12" t="n"/>
      <c r="D73" s="12" t="n"/>
      <c r="E73" s="14" t="n"/>
      <c r="F73" s="12" t="n"/>
      <c r="G73" s="12" t="n"/>
    </row>
    <row r="74">
      <c r="A74" s="8" t="n"/>
      <c r="B74" s="12" t="n"/>
      <c r="C74" s="12" t="n"/>
      <c r="D74" s="12" t="n"/>
      <c r="E74" s="14" t="n"/>
      <c r="F74" s="12" t="n"/>
      <c r="G74" s="12" t="n"/>
    </row>
    <row r="75">
      <c r="A75" s="8" t="n"/>
      <c r="B75" s="12" t="n"/>
      <c r="C75" s="12" t="n"/>
      <c r="D75" s="12" t="n"/>
      <c r="E75" s="14" t="n"/>
      <c r="F75" s="12" t="n"/>
      <c r="G75" s="12" t="n"/>
    </row>
    <row r="76">
      <c r="A76" s="8" t="n"/>
      <c r="B76" s="12" t="n"/>
      <c r="C76" s="12" t="n"/>
      <c r="D76" s="12" t="n"/>
      <c r="E76" s="14" t="n"/>
      <c r="F76" s="12" t="n"/>
      <c r="G76" s="12" t="n"/>
    </row>
    <row r="77">
      <c r="A77" s="8" t="n"/>
      <c r="B77" s="12" t="n"/>
      <c r="C77" s="12" t="n"/>
      <c r="D77" s="12" t="n"/>
      <c r="E77" s="14" t="n"/>
      <c r="F77" s="12" t="n"/>
      <c r="G77" s="12" t="n"/>
    </row>
    <row r="78">
      <c r="A78" s="8" t="n"/>
      <c r="B78" s="12" t="n"/>
      <c r="C78" s="12" t="n"/>
      <c r="D78" s="12" t="n"/>
      <c r="E78" s="14" t="n"/>
      <c r="F78" s="12" t="n"/>
      <c r="G78" s="12" t="n"/>
    </row>
    <row r="79">
      <c r="A79" s="8" t="n"/>
      <c r="B79" s="12" t="n"/>
      <c r="C79" s="12" t="n"/>
      <c r="D79" s="12" t="n"/>
      <c r="E79" s="14" t="n"/>
      <c r="F79" s="12" t="n"/>
      <c r="G79" s="12" t="n"/>
    </row>
    <row r="80">
      <c r="A80" s="8" t="n"/>
      <c r="B80" s="12" t="n"/>
      <c r="C80" s="12" t="n"/>
      <c r="D80" s="12" t="n"/>
      <c r="E80" s="14" t="n"/>
      <c r="F80" s="12" t="n"/>
      <c r="G80" s="12" t="n"/>
    </row>
    <row r="81">
      <c r="A81" s="8" t="n"/>
      <c r="B81" s="12" t="n"/>
      <c r="C81" s="12" t="n"/>
      <c r="D81" s="12" t="n"/>
      <c r="E81" s="14" t="n"/>
      <c r="F81" s="12" t="n"/>
      <c r="G81" s="12" t="n"/>
    </row>
    <row r="82">
      <c r="A82" s="8" t="n"/>
      <c r="B82" s="12" t="n"/>
      <c r="C82" s="12" t="n"/>
      <c r="D82" s="12" t="n"/>
      <c r="E82" s="14" t="n"/>
      <c r="F82" s="12" t="n"/>
      <c r="G82" s="12" t="n"/>
    </row>
    <row r="83">
      <c r="A83" s="8" t="n"/>
      <c r="B83" s="12" t="n"/>
      <c r="C83" s="12" t="n"/>
      <c r="D83" s="12" t="n"/>
      <c r="E83" s="14" t="n"/>
      <c r="F83" s="12" t="n"/>
      <c r="G83" s="12" t="n"/>
    </row>
    <row r="84">
      <c r="A84" s="8" t="n"/>
      <c r="B84" s="12" t="n"/>
      <c r="C84" s="12" t="n"/>
      <c r="D84" s="12" t="n"/>
      <c r="E84" s="14" t="n"/>
      <c r="F84" s="12" t="n"/>
      <c r="G84" s="12" t="n"/>
    </row>
    <row r="85">
      <c r="A85" s="8" t="n"/>
      <c r="B85" s="12" t="n"/>
      <c r="C85" s="12" t="n"/>
      <c r="D85" s="12" t="n"/>
      <c r="E85" s="14" t="n"/>
      <c r="F85" s="12" t="n"/>
      <c r="G85" s="12" t="n"/>
    </row>
    <row r="86">
      <c r="A86" s="8" t="n"/>
      <c r="B86" s="12" t="n"/>
      <c r="C86" s="12" t="n"/>
      <c r="D86" s="12" t="n"/>
      <c r="E86" s="14" t="n"/>
      <c r="F86" s="12" t="n"/>
      <c r="G86" s="12" t="n"/>
    </row>
    <row r="87">
      <c r="A87" s="8" t="n"/>
      <c r="B87" s="12" t="n"/>
      <c r="C87" s="12" t="n"/>
      <c r="D87" s="12" t="n"/>
      <c r="E87" s="14" t="n"/>
      <c r="F87" s="12" t="n"/>
      <c r="G87" s="12" t="n"/>
    </row>
    <row r="88">
      <c r="A88" s="8" t="n"/>
      <c r="B88" s="12" t="n"/>
      <c r="C88" s="12" t="n"/>
      <c r="D88" s="12" t="n"/>
      <c r="E88" s="14" t="n"/>
      <c r="F88" s="12" t="n"/>
      <c r="G88" s="12" t="n"/>
    </row>
    <row r="89">
      <c r="A89" s="8" t="n"/>
      <c r="B89" s="12" t="n"/>
      <c r="C89" s="12" t="n"/>
      <c r="D89" s="12" t="n"/>
      <c r="E89" s="14" t="n"/>
      <c r="F89" s="12" t="n"/>
      <c r="G89" s="12" t="n"/>
    </row>
    <row r="90">
      <c r="A90" s="8" t="n"/>
      <c r="B90" s="12" t="n"/>
      <c r="C90" s="12" t="n"/>
      <c r="D90" s="12" t="n"/>
      <c r="E90" s="14" t="n"/>
      <c r="F90" s="12" t="n"/>
      <c r="G90" s="12" t="n"/>
    </row>
    <row r="91">
      <c r="A91" s="8" t="n"/>
      <c r="B91" s="12" t="n"/>
      <c r="C91" s="12" t="n"/>
      <c r="D91" s="12" t="n"/>
      <c r="E91" s="14" t="n"/>
      <c r="F91" s="12" t="n"/>
      <c r="G91" s="12" t="n"/>
    </row>
    <row r="92">
      <c r="A92" s="8" t="n"/>
      <c r="B92" s="12" t="n"/>
      <c r="C92" s="12" t="n"/>
      <c r="D92" s="12" t="n"/>
      <c r="E92" s="14" t="n"/>
      <c r="F92" s="12" t="n"/>
      <c r="G92" s="12" t="n"/>
    </row>
    <row r="93">
      <c r="A93" s="8" t="n"/>
      <c r="B93" s="12" t="n"/>
      <c r="C93" s="12" t="n"/>
      <c r="D93" s="12" t="n"/>
      <c r="E93" s="14" t="n"/>
      <c r="F93" s="12" t="n"/>
      <c r="G93" s="12" t="n"/>
    </row>
    <row r="94">
      <c r="A94" s="8" t="n"/>
      <c r="B94" s="12" t="n"/>
      <c r="C94" s="12" t="n"/>
      <c r="D94" s="12" t="n"/>
      <c r="E94" s="14" t="n"/>
      <c r="F94" s="12" t="n"/>
      <c r="G94" s="12" t="n"/>
    </row>
    <row r="95">
      <c r="A95" s="8" t="n"/>
      <c r="B95" s="12" t="n"/>
      <c r="C95" s="12" t="n"/>
      <c r="D95" s="12" t="n"/>
      <c r="E95" s="14" t="n"/>
      <c r="F95" s="12" t="n"/>
      <c r="G95" s="12" t="n"/>
    </row>
    <row r="96">
      <c r="A96" s="8" t="n"/>
      <c r="B96" s="12" t="n"/>
      <c r="C96" s="12" t="n"/>
      <c r="D96" s="12" t="n"/>
      <c r="E96" s="14" t="n"/>
      <c r="F96" s="12" t="n"/>
      <c r="G96" s="12" t="n"/>
    </row>
    <row r="97">
      <c r="A97" s="8" t="n"/>
      <c r="B97" s="12" t="n"/>
      <c r="C97" s="12" t="n"/>
      <c r="D97" s="12" t="n"/>
      <c r="E97" s="14" t="n"/>
      <c r="F97" s="12" t="n"/>
      <c r="G97" s="12" t="n"/>
    </row>
    <row r="98">
      <c r="A98" s="8" t="n"/>
      <c r="B98" s="12" t="n"/>
      <c r="C98" s="12" t="n"/>
      <c r="D98" s="12" t="n"/>
      <c r="E98" s="14" t="n"/>
      <c r="F98" s="12" t="n"/>
      <c r="G98" s="12" t="n"/>
    </row>
    <row r="99">
      <c r="A99" s="8" t="n"/>
      <c r="B99" s="12" t="n"/>
      <c r="C99" s="12" t="n"/>
      <c r="D99" s="12" t="n"/>
      <c r="E99" s="14" t="n"/>
      <c r="F99" s="12" t="n"/>
      <c r="G99" s="12" t="n"/>
    </row>
    <row r="100">
      <c r="A100" s="8" t="n"/>
      <c r="B100" s="12" t="n"/>
      <c r="C100" s="12" t="n"/>
      <c r="D100" s="12" t="n"/>
      <c r="E100" s="14" t="n"/>
      <c r="F100" s="12" t="n"/>
      <c r="G100" s="12" t="n"/>
    </row>
    <row r="101">
      <c r="A101" s="8" t="n"/>
      <c r="B101" s="12" t="n"/>
      <c r="C101" s="12" t="n"/>
      <c r="D101" s="12" t="n"/>
      <c r="E101" s="14" t="n"/>
      <c r="F101" s="12" t="n"/>
      <c r="G101" s="12" t="n"/>
    </row>
    <row r="102">
      <c r="A102" s="8" t="n"/>
      <c r="B102" s="12" t="n"/>
      <c r="C102" s="12" t="n"/>
      <c r="D102" s="12" t="n"/>
      <c r="E102" s="14" t="n"/>
      <c r="F102" s="12" t="n"/>
      <c r="G102" s="12" t="n"/>
    </row>
    <row r="103">
      <c r="A103" s="8" t="n"/>
      <c r="B103" s="12" t="n"/>
      <c r="C103" s="12" t="n"/>
      <c r="D103" s="12" t="n"/>
      <c r="E103" s="14" t="n"/>
      <c r="F103" s="12" t="n"/>
      <c r="G103" s="12" t="n"/>
    </row>
    <row r="104">
      <c r="A104" s="8" t="n"/>
      <c r="B104" s="12" t="n"/>
      <c r="C104" s="12" t="n"/>
      <c r="D104" s="12" t="n"/>
      <c r="E104" s="14" t="n"/>
      <c r="F104" s="12" t="n"/>
      <c r="G104" s="12" t="n"/>
    </row>
    <row r="105">
      <c r="A105" s="8" t="n"/>
      <c r="B105" s="12" t="n"/>
      <c r="C105" s="12" t="n"/>
      <c r="D105" s="12" t="n"/>
      <c r="E105" s="14" t="n"/>
      <c r="F105" s="12" t="n"/>
      <c r="G105" s="12" t="n"/>
    </row>
    <row r="106">
      <c r="A106" s="8" t="n"/>
      <c r="B106" s="12" t="n"/>
      <c r="C106" s="12" t="n"/>
      <c r="D106" s="12" t="n"/>
      <c r="E106" s="14" t="n"/>
      <c r="F106" s="12" t="n"/>
      <c r="G106" s="12" t="n"/>
    </row>
    <row r="107">
      <c r="A107" s="8" t="n"/>
      <c r="B107" s="12" t="n"/>
      <c r="C107" s="12" t="n"/>
      <c r="D107" s="12" t="n"/>
      <c r="E107" s="14" t="n"/>
      <c r="F107" s="12" t="n"/>
      <c r="G107" s="12" t="n"/>
    </row>
    <row r="108">
      <c r="A108" s="8" t="n"/>
      <c r="B108" s="12" t="n"/>
      <c r="C108" s="12" t="n"/>
      <c r="D108" s="12" t="n"/>
      <c r="E108" s="14" t="n"/>
      <c r="F108" s="12" t="n"/>
      <c r="G108" s="12" t="n"/>
    </row>
    <row r="109">
      <c r="A109" s="8" t="n"/>
      <c r="B109" s="12" t="n"/>
      <c r="C109" s="12" t="n"/>
      <c r="D109" s="12" t="n"/>
      <c r="E109" s="14" t="n"/>
      <c r="F109" s="12" t="n"/>
      <c r="G109" s="12" t="n"/>
    </row>
    <row r="110">
      <c r="A110" s="8" t="n"/>
      <c r="B110" s="12" t="n"/>
      <c r="C110" s="12" t="n"/>
      <c r="D110" s="12" t="n"/>
      <c r="E110" s="14" t="n"/>
      <c r="F110" s="12" t="n"/>
      <c r="G110" s="12" t="n"/>
    </row>
    <row r="111">
      <c r="A111" s="8" t="n"/>
      <c r="B111" s="12" t="n"/>
      <c r="C111" s="12" t="n"/>
      <c r="D111" s="12" t="n"/>
      <c r="E111" s="14" t="n"/>
      <c r="F111" s="12" t="n"/>
      <c r="G111" s="12" t="n"/>
    </row>
    <row r="112">
      <c r="A112" s="8" t="n"/>
      <c r="B112" s="12" t="n"/>
      <c r="C112" s="12" t="n"/>
      <c r="D112" s="12" t="n"/>
      <c r="E112" s="14" t="n"/>
      <c r="F112" s="12" t="n"/>
      <c r="G112" s="12" t="n"/>
    </row>
    <row r="113">
      <c r="A113" s="8" t="n"/>
      <c r="B113" s="12" t="n"/>
      <c r="C113" s="12" t="n"/>
      <c r="D113" s="12" t="n"/>
      <c r="E113" s="14" t="n"/>
      <c r="F113" s="12" t="n"/>
      <c r="G113" s="12" t="n"/>
    </row>
    <row r="114">
      <c r="A114" s="8" t="n"/>
      <c r="B114" s="12" t="n"/>
      <c r="C114" s="12" t="n"/>
      <c r="D114" s="12" t="n"/>
      <c r="E114" s="14" t="n"/>
      <c r="F114" s="12" t="n"/>
      <c r="G114" s="12" t="n"/>
    </row>
    <row r="115">
      <c r="A115" s="8" t="n"/>
      <c r="B115" s="12" t="n"/>
      <c r="C115" s="12" t="n"/>
      <c r="D115" s="12" t="n"/>
      <c r="E115" s="14" t="n"/>
      <c r="F115" s="12" t="n"/>
      <c r="G115" s="12" t="n"/>
    </row>
    <row r="116">
      <c r="A116" s="8" t="n"/>
      <c r="B116" s="12" t="n"/>
      <c r="C116" s="12" t="n"/>
      <c r="D116" s="12" t="n"/>
      <c r="E116" s="14" t="n"/>
      <c r="F116" s="12" t="n"/>
      <c r="G116" s="12" t="n"/>
    </row>
    <row r="117">
      <c r="A117" s="8" t="n"/>
      <c r="B117" s="12" t="n"/>
      <c r="C117" s="12" t="n"/>
      <c r="D117" s="12" t="n"/>
      <c r="E117" s="14" t="n"/>
      <c r="F117" s="12" t="n"/>
      <c r="G117" s="12" t="n"/>
    </row>
    <row r="118">
      <c r="A118" s="8" t="n"/>
      <c r="B118" s="12" t="n"/>
      <c r="C118" s="12" t="n"/>
      <c r="D118" s="12" t="n"/>
      <c r="E118" s="14" t="n"/>
      <c r="F118" s="12" t="n"/>
      <c r="G118" s="12" t="n"/>
    </row>
    <row r="119">
      <c r="A119" s="8" t="n"/>
      <c r="B119" s="12" t="n"/>
      <c r="C119" s="12" t="n"/>
      <c r="D119" s="12" t="n"/>
      <c r="E119" s="14" t="n"/>
      <c r="F119" s="12" t="n"/>
      <c r="G119" s="12" t="n"/>
    </row>
    <row r="120">
      <c r="A120" s="8" t="n"/>
      <c r="B120" s="12" t="n"/>
      <c r="C120" s="12" t="n"/>
      <c r="D120" s="12" t="n"/>
      <c r="E120" s="14" t="n"/>
      <c r="F120" s="12" t="n"/>
      <c r="G120" s="12" t="n"/>
    </row>
    <row r="121">
      <c r="A121" s="8" t="n"/>
      <c r="B121" s="12" t="n"/>
      <c r="C121" s="12" t="n"/>
      <c r="D121" s="12" t="n"/>
      <c r="E121" s="14" t="n"/>
      <c r="F121" s="12" t="n"/>
      <c r="G121" s="12" t="n"/>
    </row>
    <row r="122">
      <c r="A122" s="8" t="n"/>
      <c r="B122" s="12" t="n"/>
      <c r="C122" s="12" t="n"/>
      <c r="D122" s="12" t="n"/>
      <c r="E122" s="14" t="n"/>
      <c r="F122" s="12" t="n"/>
      <c r="G122" s="12" t="n"/>
    </row>
    <row r="123">
      <c r="A123" s="8" t="n"/>
      <c r="B123" s="12" t="n"/>
      <c r="C123" s="12" t="n"/>
      <c r="D123" s="12" t="n"/>
      <c r="E123" s="14" t="n"/>
      <c r="F123" s="12" t="n"/>
      <c r="G123" s="12" t="n"/>
    </row>
    <row r="124">
      <c r="A124" s="8" t="n"/>
      <c r="B124" s="12" t="n"/>
      <c r="C124" s="12" t="n"/>
      <c r="D124" s="12" t="n"/>
      <c r="E124" s="14" t="n"/>
      <c r="F124" s="12" t="n"/>
      <c r="G124" s="12" t="n"/>
    </row>
    <row r="125">
      <c r="A125" s="8" t="n"/>
      <c r="B125" s="12" t="n"/>
      <c r="C125" s="12" t="n"/>
      <c r="D125" s="12" t="n"/>
      <c r="E125" s="14" t="n"/>
      <c r="F125" s="12" t="n"/>
      <c r="G125" s="12" t="n"/>
    </row>
    <row r="126">
      <c r="A126" s="8" t="n"/>
      <c r="B126" s="12" t="n"/>
      <c r="C126" s="12" t="n"/>
      <c r="D126" s="12" t="n"/>
      <c r="E126" s="14" t="n"/>
      <c r="F126" s="12" t="n"/>
      <c r="G126" s="12" t="n"/>
    </row>
    <row r="127">
      <c r="A127" s="8" t="n"/>
      <c r="B127" s="12" t="n"/>
      <c r="C127" s="12" t="n"/>
      <c r="D127" s="12" t="n"/>
      <c r="E127" s="14" t="n"/>
      <c r="F127" s="12" t="n"/>
      <c r="G127" s="12" t="n"/>
    </row>
    <row r="128">
      <c r="A128" s="8" t="n"/>
      <c r="B128" s="12" t="n"/>
      <c r="C128" s="12" t="n"/>
      <c r="D128" s="12" t="n"/>
      <c r="E128" s="14" t="n"/>
      <c r="F128" s="12" t="n"/>
      <c r="G128" s="12" t="n"/>
    </row>
    <row r="129">
      <c r="A129" s="8" t="n"/>
      <c r="B129" s="12" t="n"/>
      <c r="C129" s="12" t="n"/>
      <c r="D129" s="12" t="n"/>
      <c r="E129" s="14" t="n"/>
      <c r="F129" s="12" t="n"/>
      <c r="G129" s="12" t="n"/>
    </row>
    <row r="130">
      <c r="A130" s="8" t="n"/>
      <c r="B130" s="12" t="n"/>
      <c r="C130" s="12" t="n"/>
      <c r="D130" s="12" t="n"/>
      <c r="E130" s="14" t="n"/>
      <c r="F130" s="12" t="n"/>
      <c r="G130" s="12" t="n"/>
    </row>
    <row r="131">
      <c r="A131" s="8" t="n"/>
      <c r="B131" s="12" t="n"/>
      <c r="C131" s="12" t="n"/>
      <c r="D131" s="12" t="n"/>
      <c r="E131" s="14" t="n"/>
      <c r="F131" s="12" t="n"/>
      <c r="G131" s="12" t="n"/>
    </row>
    <row r="132">
      <c r="A132" s="8" t="n"/>
      <c r="B132" s="12" t="n"/>
      <c r="C132" s="12" t="n"/>
      <c r="D132" s="12" t="n"/>
      <c r="E132" s="14" t="n"/>
      <c r="F132" s="12" t="n"/>
      <c r="G132" s="12" t="n"/>
    </row>
    <row r="133">
      <c r="A133" s="8" t="n"/>
      <c r="B133" s="12" t="n"/>
      <c r="C133" s="12" t="n"/>
      <c r="D133" s="12" t="n"/>
      <c r="E133" s="14" t="n"/>
      <c r="F133" s="12" t="n"/>
      <c r="G133" s="12" t="n"/>
    </row>
    <row r="134">
      <c r="A134" s="8" t="n"/>
      <c r="B134" s="12" t="n"/>
      <c r="C134" s="12" t="n"/>
      <c r="D134" s="12" t="n"/>
      <c r="E134" s="14" t="n"/>
      <c r="F134" s="12" t="n"/>
      <c r="G134" s="12" t="n"/>
    </row>
    <row r="135">
      <c r="A135" s="8" t="n"/>
      <c r="B135" s="12" t="n"/>
      <c r="C135" s="12" t="n"/>
      <c r="D135" s="12" t="n"/>
      <c r="E135" s="14" t="n"/>
      <c r="F135" s="12" t="n"/>
      <c r="G135" s="12" t="n"/>
    </row>
    <row r="136">
      <c r="A136" s="8" t="n"/>
      <c r="B136" s="12" t="n"/>
      <c r="C136" s="12" t="n"/>
      <c r="D136" s="12" t="n"/>
      <c r="E136" s="14" t="n"/>
      <c r="F136" s="12" t="n"/>
      <c r="G136" s="12" t="n"/>
    </row>
    <row r="137">
      <c r="A137" s="8" t="n"/>
      <c r="B137" s="12" t="n"/>
      <c r="C137" s="12" t="n"/>
      <c r="D137" s="12" t="n"/>
      <c r="E137" s="14" t="n"/>
      <c r="F137" s="12" t="n"/>
      <c r="G137" s="12" t="n"/>
    </row>
    <row r="138">
      <c r="A138" s="8" t="n"/>
      <c r="B138" s="12" t="n"/>
      <c r="C138" s="12" t="n"/>
      <c r="D138" s="12" t="n"/>
      <c r="E138" s="14" t="n"/>
      <c r="F138" s="12" t="n"/>
      <c r="G138" s="12" t="n"/>
    </row>
    <row r="139">
      <c r="A139" s="8" t="n"/>
      <c r="B139" s="12" t="n"/>
      <c r="C139" s="12" t="n"/>
      <c r="D139" s="12" t="n"/>
      <c r="E139" s="14" t="n"/>
      <c r="F139" s="12" t="n"/>
      <c r="G139" s="12" t="n"/>
    </row>
    <row r="140">
      <c r="A140" s="8" t="n"/>
      <c r="B140" s="12" t="n"/>
      <c r="C140" s="12" t="n"/>
      <c r="D140" s="12" t="n"/>
      <c r="E140" s="14" t="n"/>
      <c r="F140" s="12" t="n"/>
      <c r="G140" s="12" t="n"/>
    </row>
    <row r="141">
      <c r="A141" s="8" t="n"/>
      <c r="B141" s="12" t="n"/>
      <c r="C141" s="12" t="n"/>
      <c r="D141" s="12" t="n"/>
      <c r="E141" s="14" t="n"/>
      <c r="F141" s="12" t="n"/>
      <c r="G141" s="12" t="n"/>
    </row>
    <row r="142">
      <c r="A142" s="8" t="n"/>
      <c r="B142" s="12" t="n"/>
      <c r="C142" s="12" t="n"/>
      <c r="D142" s="12" t="n"/>
      <c r="E142" s="14" t="n"/>
      <c r="F142" s="12" t="n"/>
      <c r="G142" s="12" t="n"/>
    </row>
    <row r="143">
      <c r="A143" s="8" t="n"/>
      <c r="B143" s="12" t="n"/>
      <c r="C143" s="12" t="n"/>
      <c r="D143" s="12" t="n"/>
      <c r="E143" s="14" t="n"/>
      <c r="F143" s="12" t="n"/>
      <c r="G143" s="12" t="n"/>
    </row>
    <row r="144">
      <c r="A144" s="8" t="n"/>
      <c r="B144" s="12" t="n"/>
      <c r="C144" s="12" t="n"/>
      <c r="D144" s="12" t="n"/>
      <c r="E144" s="14" t="n"/>
      <c r="F144" s="12" t="n"/>
      <c r="G144" s="12" t="n"/>
    </row>
    <row r="145">
      <c r="A145" s="8" t="n"/>
      <c r="B145" s="12" t="n"/>
      <c r="C145" s="12" t="n"/>
      <c r="D145" s="12" t="n"/>
      <c r="E145" s="14" t="n"/>
      <c r="F145" s="12" t="n"/>
      <c r="G145" s="12" t="n"/>
    </row>
    <row r="146">
      <c r="A146" s="8" t="n"/>
      <c r="B146" s="12" t="n"/>
      <c r="C146" s="12" t="n"/>
      <c r="D146" s="12" t="n"/>
      <c r="E146" s="14" t="n"/>
      <c r="F146" s="12" t="n"/>
      <c r="G146" s="12" t="n"/>
    </row>
    <row r="147">
      <c r="A147" s="8" t="n"/>
      <c r="B147" s="12" t="n"/>
      <c r="C147" s="12" t="n"/>
      <c r="D147" s="12" t="n"/>
      <c r="E147" s="14" t="n"/>
      <c r="F147" s="12" t="n"/>
      <c r="G147" s="12" t="n"/>
    </row>
  </sheetData>
  <mergeCells count="14">
    <mergeCell ref="B7:F7"/>
    <mergeCell ref="A1:G1"/>
    <mergeCell ref="B6:F6"/>
    <mergeCell ref="E19:G19"/>
    <mergeCell ref="B10:F10"/>
    <mergeCell ref="A12:G12"/>
    <mergeCell ref="B5:F5"/>
    <mergeCell ref="A4:G4"/>
    <mergeCell ref="E26:G26"/>
    <mergeCell ref="A2:G2"/>
    <mergeCell ref="A29:G29"/>
    <mergeCell ref="B8:F8"/>
    <mergeCell ref="B9:F9"/>
    <mergeCell ref="A46:G46"/>
  </mergeCells>
  <dataValidations count="3">
    <dataValidation sqref="B5" showDropDown="0" showInputMessage="0" showErrorMessage="0" allowBlank="1" type="list">
      <formula1>"Planning,Quoting,Approved,In progress,Complete,On hold"</formula1>
    </dataValidation>
    <dataValidation sqref="B8" showDropDown="0" showInputMessage="0" showErrorMessage="0" allowBlank="1" type="list">
      <formula1>=$B$13:$D$13</formula1>
    </dataValidation>
    <dataValidation sqref="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showDropDown="0" showInputMessage="0" showErrorMessage="0" allowBlank="1" type="list">
      <formula1>=$A$31:$A$41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2026-07-06T21:37:05Z</dcterms:created>
  <dcterms:modified xsi:type="dcterms:W3CDTF">2026-07-06T21:37:05Z</dcterms:modified>
</cp:coreProperties>
</file>